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B8835E5A06A2D76/Documents/"/>
    </mc:Choice>
  </mc:AlternateContent>
  <xr:revisionPtr revIDLastSave="0" documentId="8_{C8B8002F-8440-4BB9-9DC1-B62FBA8E18A5}" xr6:coauthVersionLast="47" xr6:coauthVersionMax="47" xr10:uidLastSave="{00000000-0000-0000-0000-000000000000}"/>
  <bookViews>
    <workbookView xWindow="-120" yWindow="-120" windowWidth="23280" windowHeight="14880" tabRatio="697" xr2:uid="{00000000-000D-0000-FFFF-FFFF00000000}"/>
  </bookViews>
  <sheets>
    <sheet name="Financials" sheetId="13" r:id="rId1"/>
    <sheet name="Revenue" sheetId="17" r:id="rId2"/>
    <sheet name="Expenses" sheetId="3" r:id="rId3"/>
    <sheet name="Working Capital" sheetId="4" r:id="rId4"/>
    <sheet name="Long Term Asset &amp; Liab" sheetId="5" r:id="rId5"/>
    <sheet name="Financing" sheetId="6" r:id="rId6"/>
    <sheet name="Free Cash Flows" sheetId="7" r:id="rId7"/>
    <sheet name="Ratios" sheetId="8" r:id="rId8"/>
    <sheet name="Year-over-Year" sheetId="9" r:id="rId9"/>
    <sheet name="Common Size" sheetId="10" r:id="rId10"/>
  </sheets>
  <definedNames>
    <definedName name="_xlnm.Print_Area" localSheetId="2">Expenses!$A$3:$L$24</definedName>
    <definedName name="_xlnm.Print_Area" localSheetId="5">Financing!$A$110:$L$145</definedName>
    <definedName name="_xlnm.Print_Area" localSheetId="6">'Free Cash Flows'!$A$4:$L$17</definedName>
    <definedName name="_xlnm.Print_Area" localSheetId="4">'Long Term Asset &amp; Liab'!$A$4:$L$41</definedName>
    <definedName name="_xlnm.Print_Area" localSheetId="1">Revenue!$A$10:$L$67</definedName>
    <definedName name="_xlnm.Print_Area" localSheetId="3">'Working Capital'!$A$3:$L$38</definedName>
    <definedName name="_xlnm.Print_Titles" localSheetId="2">Expenses!$1:$2</definedName>
    <definedName name="_xlnm.Print_Titles" localSheetId="5">Financing!$1:$2</definedName>
    <definedName name="_xlnm.Print_Titles" localSheetId="4">'Long Term Asset &amp; Liab'!$1:$2</definedName>
    <definedName name="_xlnm.Print_Titles" localSheetId="7">Ratios!$1:$2</definedName>
    <definedName name="_xlnm.Print_Titles" localSheetId="1">Revenue!$1:$2</definedName>
    <definedName name="_xlnm.Print_Titles" localSheetId="3">'Working Capital'!$1:$2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7" l="1"/>
  <c r="J17" i="7"/>
  <c r="K17" i="7"/>
  <c r="L17" i="7"/>
  <c r="H17" i="7"/>
  <c r="I13" i="7"/>
  <c r="J13" i="7"/>
  <c r="K13" i="7"/>
  <c r="L13" i="7"/>
  <c r="H13" i="7"/>
  <c r="I15" i="7"/>
  <c r="J15" i="7"/>
  <c r="K15" i="7"/>
  <c r="L15" i="7"/>
  <c r="H15" i="7"/>
  <c r="I11" i="7"/>
  <c r="J11" i="7"/>
  <c r="K11" i="7"/>
  <c r="L11" i="7"/>
  <c r="H11" i="7"/>
  <c r="I9" i="7"/>
  <c r="J9" i="7"/>
  <c r="K9" i="7"/>
  <c r="L9" i="7"/>
  <c r="H9" i="7"/>
  <c r="I7" i="7"/>
  <c r="J7" i="7"/>
  <c r="K7" i="7"/>
  <c r="L7" i="7"/>
  <c r="I6" i="7"/>
  <c r="J6" i="7"/>
  <c r="K6" i="7"/>
  <c r="L6" i="7"/>
  <c r="H7" i="7"/>
  <c r="H6" i="7"/>
  <c r="I5" i="7"/>
  <c r="J5" i="7"/>
  <c r="K5" i="7"/>
  <c r="L5" i="7"/>
  <c r="H5" i="7"/>
  <c r="I4" i="7"/>
  <c r="J4" i="7"/>
  <c r="K4" i="7"/>
  <c r="L4" i="7"/>
  <c r="H4" i="7"/>
  <c r="I70" i="13"/>
  <c r="H70" i="13"/>
  <c r="I122" i="13"/>
  <c r="J122" i="13"/>
  <c r="K122" i="13"/>
  <c r="L122" i="13"/>
  <c r="H122" i="13"/>
  <c r="I81" i="6"/>
  <c r="J81" i="6"/>
  <c r="K81" i="6"/>
  <c r="L81" i="6"/>
  <c r="H81" i="6"/>
  <c r="H124" i="13"/>
  <c r="G64" i="6"/>
  <c r="G51" i="6"/>
  <c r="H91" i="13"/>
  <c r="H56" i="6"/>
  <c r="H55" i="6"/>
  <c r="H123" i="13" s="1"/>
  <c r="I123" i="13"/>
  <c r="J123" i="13"/>
  <c r="K123" i="13"/>
  <c r="L123" i="13"/>
  <c r="I91" i="13"/>
  <c r="J91" i="13"/>
  <c r="K91" i="13"/>
  <c r="L91" i="13"/>
  <c r="I39" i="13"/>
  <c r="J39" i="13"/>
  <c r="K39" i="13"/>
  <c r="L39" i="13"/>
  <c r="H39" i="13"/>
  <c r="H103" i="6"/>
  <c r="G103" i="6"/>
  <c r="D105" i="6"/>
  <c r="E105" i="6"/>
  <c r="F105" i="6"/>
  <c r="G105" i="6"/>
  <c r="C105" i="6"/>
  <c r="G82" i="6"/>
  <c r="H80" i="6" s="1"/>
  <c r="G57" i="6"/>
  <c r="H53" i="6" s="1"/>
  <c r="F64" i="6"/>
  <c r="F61" i="6"/>
  <c r="G80" i="6"/>
  <c r="I55" i="6"/>
  <c r="J55" i="6"/>
  <c r="K55" i="6"/>
  <c r="L55" i="6"/>
  <c r="I56" i="6"/>
  <c r="J56" i="6"/>
  <c r="K56" i="6"/>
  <c r="L56" i="6"/>
  <c r="C61" i="6"/>
  <c r="G65" i="6"/>
  <c r="G61" i="6"/>
  <c r="G62" i="6" s="1"/>
  <c r="D64" i="6"/>
  <c r="E64" i="6"/>
  <c r="C64" i="6"/>
  <c r="F57" i="6"/>
  <c r="D61" i="6"/>
  <c r="E61" i="6"/>
  <c r="G21" i="6"/>
  <c r="H29" i="6" s="1"/>
  <c r="H71" i="13" s="1"/>
  <c r="L24" i="6"/>
  <c r="M24" i="6"/>
  <c r="I121" i="13"/>
  <c r="J121" i="13"/>
  <c r="K121" i="13"/>
  <c r="L121" i="13"/>
  <c r="H121" i="13"/>
  <c r="I120" i="13"/>
  <c r="J120" i="13"/>
  <c r="K120" i="13"/>
  <c r="L120" i="13"/>
  <c r="H120" i="13"/>
  <c r="I27" i="13"/>
  <c r="J27" i="13"/>
  <c r="K27" i="13"/>
  <c r="L27" i="13"/>
  <c r="H27" i="13"/>
  <c r="H16" i="6"/>
  <c r="I8" i="6"/>
  <c r="J8" i="6"/>
  <c r="K8" i="6"/>
  <c r="L8" i="6"/>
  <c r="H8" i="6"/>
  <c r="I16" i="6"/>
  <c r="J16" i="6"/>
  <c r="K16" i="6"/>
  <c r="L16" i="6"/>
  <c r="I26" i="6"/>
  <c r="J26" i="6"/>
  <c r="K26" i="6"/>
  <c r="L26" i="6"/>
  <c r="H26" i="6"/>
  <c r="G26" i="6"/>
  <c r="G4" i="6"/>
  <c r="G19" i="6"/>
  <c r="C26" i="6"/>
  <c r="G17" i="6"/>
  <c r="C17" i="6"/>
  <c r="H82" i="6" l="1"/>
  <c r="H43" i="13"/>
  <c r="I80" i="6"/>
  <c r="I82" i="6" s="1"/>
  <c r="H14" i="6"/>
  <c r="J80" i="6" l="1"/>
  <c r="J82" i="6" s="1"/>
  <c r="I43" i="13"/>
  <c r="K80" i="6" l="1"/>
  <c r="K82" i="6" s="1"/>
  <c r="J43" i="13"/>
  <c r="L80" i="6" l="1"/>
  <c r="L82" i="6" s="1"/>
  <c r="L43" i="13" s="1"/>
  <c r="K43" i="13"/>
  <c r="F26" i="6" l="1"/>
  <c r="F19" i="6"/>
  <c r="F17" i="6"/>
  <c r="G8" i="6"/>
  <c r="G16" i="6" s="1"/>
  <c r="H63" i="13"/>
  <c r="H89" i="13"/>
  <c r="H44" i="5"/>
  <c r="H24" i="5"/>
  <c r="I90" i="13"/>
  <c r="J90" i="13"/>
  <c r="K90" i="13"/>
  <c r="L90" i="13"/>
  <c r="H90" i="13"/>
  <c r="I14" i="13"/>
  <c r="J14" i="13"/>
  <c r="K14" i="13"/>
  <c r="L14" i="13"/>
  <c r="H14" i="13"/>
  <c r="I15" i="13"/>
  <c r="J15" i="13"/>
  <c r="K15" i="13"/>
  <c r="L15" i="13"/>
  <c r="H15" i="13"/>
  <c r="H106" i="5"/>
  <c r="I101" i="5" s="1"/>
  <c r="I106" i="5" s="1"/>
  <c r="J101" i="5" s="1"/>
  <c r="J106" i="5" s="1"/>
  <c r="K101" i="5" s="1"/>
  <c r="K106" i="5" s="1"/>
  <c r="L101" i="5" s="1"/>
  <c r="L106" i="5" s="1"/>
  <c r="I109" i="5"/>
  <c r="H113" i="5"/>
  <c r="I113" i="5"/>
  <c r="J109" i="5" s="1"/>
  <c r="J113" i="5" s="1"/>
  <c r="K109" i="5" s="1"/>
  <c r="K113" i="5" s="1"/>
  <c r="L109" i="5" s="1"/>
  <c r="L113" i="5" s="1"/>
  <c r="H109" i="5"/>
  <c r="G106" i="5"/>
  <c r="H101" i="5" s="1"/>
  <c r="I112" i="13"/>
  <c r="J112" i="13"/>
  <c r="K112" i="13"/>
  <c r="L112" i="13"/>
  <c r="H112" i="13"/>
  <c r="H23" i="5"/>
  <c r="H84" i="5"/>
  <c r="I83" i="5"/>
  <c r="J83" i="5"/>
  <c r="K83" i="5"/>
  <c r="L83" i="5"/>
  <c r="H83" i="5"/>
  <c r="D40" i="5"/>
  <c r="F40" i="5"/>
  <c r="G40" i="5"/>
  <c r="C40" i="5"/>
  <c r="C54" i="5"/>
  <c r="C19" i="5"/>
  <c r="C52" i="5" s="1"/>
  <c r="C57" i="5" s="1"/>
  <c r="I23" i="5"/>
  <c r="J23" i="5"/>
  <c r="K23" i="5"/>
  <c r="L23" i="5"/>
  <c r="F24" i="5"/>
  <c r="G24" i="5"/>
  <c r="I31" i="5"/>
  <c r="J31" i="5"/>
  <c r="K31" i="5"/>
  <c r="L31" i="5"/>
  <c r="H31" i="5"/>
  <c r="C21" i="5"/>
  <c r="C30" i="5"/>
  <c r="D30" i="5"/>
  <c r="E30" i="5"/>
  <c r="F30" i="5"/>
  <c r="G30" i="5"/>
  <c r="G31" i="5" s="1"/>
  <c r="G23" i="5" s="1"/>
  <c r="B30" i="5"/>
  <c r="G19" i="5" l="1"/>
  <c r="F19" i="5"/>
  <c r="B28" i="4"/>
  <c r="B29" i="4" s="1"/>
  <c r="G4" i="4" l="1"/>
  <c r="G92" i="17"/>
  <c r="H85" i="17"/>
  <c r="B85" i="17"/>
  <c r="C7" i="3"/>
  <c r="H25" i="17"/>
  <c r="H26" i="17" s="1"/>
  <c r="F20" i="3"/>
  <c r="I44" i="17"/>
  <c r="J44" i="17"/>
  <c r="K44" i="17"/>
  <c r="L44" i="17"/>
  <c r="H44" i="17"/>
  <c r="I43" i="17"/>
  <c r="J43" i="17"/>
  <c r="K43" i="17"/>
  <c r="L43" i="17"/>
  <c r="H43" i="17"/>
  <c r="I53" i="17"/>
  <c r="J53" i="17"/>
  <c r="K53" i="17"/>
  <c r="L53" i="17"/>
  <c r="H53" i="17"/>
  <c r="C53" i="17"/>
  <c r="I42" i="17"/>
  <c r="J42" i="17"/>
  <c r="K42" i="17"/>
  <c r="L42" i="17"/>
  <c r="H42" i="17"/>
  <c r="L47" i="17"/>
  <c r="L51" i="17"/>
  <c r="L50" i="17" s="1"/>
  <c r="L56" i="17"/>
  <c r="L57" i="17"/>
  <c r="I77" i="17"/>
  <c r="J77" i="17"/>
  <c r="K77" i="17"/>
  <c r="L77" i="17"/>
  <c r="H77" i="17"/>
  <c r="J76" i="17"/>
  <c r="I76" i="17"/>
  <c r="K76" i="17"/>
  <c r="L76" i="17"/>
  <c r="I75" i="17"/>
  <c r="J75" i="17"/>
  <c r="K75" i="17"/>
  <c r="L75" i="17"/>
  <c r="I74" i="17"/>
  <c r="J74" i="17"/>
  <c r="K74" i="17"/>
  <c r="L74" i="17"/>
  <c r="H76" i="17"/>
  <c r="H75" i="17"/>
  <c r="H74" i="17"/>
  <c r="I73" i="17"/>
  <c r="J73" i="17"/>
  <c r="K73" i="17"/>
  <c r="L73" i="17"/>
  <c r="H73" i="17"/>
  <c r="B73" i="17"/>
  <c r="I81" i="17"/>
  <c r="J81" i="17"/>
  <c r="K81" i="17"/>
  <c r="L81" i="17"/>
  <c r="I80" i="17"/>
  <c r="J80" i="17"/>
  <c r="K80" i="17"/>
  <c r="L80" i="17"/>
  <c r="H81" i="17"/>
  <c r="H80" i="17"/>
  <c r="I82" i="17"/>
  <c r="J82" i="17"/>
  <c r="K82" i="17"/>
  <c r="L82" i="17"/>
  <c r="H82" i="17"/>
  <c r="I89" i="17"/>
  <c r="J89" i="17"/>
  <c r="K89" i="17"/>
  <c r="L89" i="17"/>
  <c r="H89" i="17"/>
  <c r="L87" i="17"/>
  <c r="I85" i="17"/>
  <c r="J85" i="17"/>
  <c r="K85" i="17"/>
  <c r="L85" i="17"/>
  <c r="I86" i="17"/>
  <c r="J86" i="17"/>
  <c r="K86" i="17"/>
  <c r="L86" i="17"/>
  <c r="I87" i="17"/>
  <c r="J87" i="17"/>
  <c r="K87" i="17"/>
  <c r="I88" i="17"/>
  <c r="J88" i="17"/>
  <c r="K88" i="17"/>
  <c r="L88" i="17"/>
  <c r="H86" i="17"/>
  <c r="H87" i="17"/>
  <c r="H88" i="17"/>
  <c r="I99" i="17"/>
  <c r="J99" i="17"/>
  <c r="K99" i="17"/>
  <c r="L99" i="17"/>
  <c r="H99" i="17"/>
  <c r="H57" i="17"/>
  <c r="I56" i="17"/>
  <c r="J56" i="17"/>
  <c r="K56" i="17"/>
  <c r="I57" i="17"/>
  <c r="J57" i="17"/>
  <c r="K57" i="17"/>
  <c r="H56" i="17"/>
  <c r="I50" i="17"/>
  <c r="J50" i="17"/>
  <c r="K50" i="17"/>
  <c r="H50" i="17"/>
  <c r="I51" i="17"/>
  <c r="J51" i="17"/>
  <c r="K51" i="17"/>
  <c r="H51" i="17"/>
  <c r="I47" i="17"/>
  <c r="J47" i="17"/>
  <c r="K47" i="17"/>
  <c r="H47" i="17"/>
  <c r="J23" i="17"/>
  <c r="I22" i="17"/>
  <c r="J22" i="17"/>
  <c r="K22" i="17"/>
  <c r="L22" i="17"/>
  <c r="I23" i="17"/>
  <c r="K23" i="17"/>
  <c r="L23" i="17"/>
  <c r="I24" i="17"/>
  <c r="J24" i="17"/>
  <c r="K24" i="17"/>
  <c r="L24" i="17"/>
  <c r="I25" i="17"/>
  <c r="I26" i="17" s="1"/>
  <c r="H23" i="17"/>
  <c r="H24" i="17"/>
  <c r="H22" i="17"/>
  <c r="D99" i="17"/>
  <c r="E99" i="17"/>
  <c r="F99" i="17"/>
  <c r="G99" i="17"/>
  <c r="C99" i="17"/>
  <c r="D95" i="17"/>
  <c r="E95" i="17"/>
  <c r="F95" i="17"/>
  <c r="G95" i="17"/>
  <c r="D96" i="17"/>
  <c r="E96" i="17"/>
  <c r="F96" i="17"/>
  <c r="G96" i="17"/>
  <c r="D97" i="17"/>
  <c r="E97" i="17"/>
  <c r="F97" i="17"/>
  <c r="G97" i="17"/>
  <c r="C96" i="17"/>
  <c r="C97" i="17"/>
  <c r="C95" i="17"/>
  <c r="D92" i="17"/>
  <c r="E92" i="17"/>
  <c r="F92" i="17"/>
  <c r="C92" i="17"/>
  <c r="C89" i="17"/>
  <c r="D89" i="17"/>
  <c r="E89" i="17"/>
  <c r="F89" i="17"/>
  <c r="G89" i="17"/>
  <c r="B89" i="17"/>
  <c r="C88" i="17"/>
  <c r="D88" i="17"/>
  <c r="E88" i="17"/>
  <c r="F88" i="17"/>
  <c r="G88" i="17"/>
  <c r="C87" i="17"/>
  <c r="D87" i="17"/>
  <c r="E87" i="17"/>
  <c r="F87" i="17"/>
  <c r="G87" i="17"/>
  <c r="C86" i="17"/>
  <c r="D86" i="17"/>
  <c r="E86" i="17"/>
  <c r="F86" i="17"/>
  <c r="G86" i="17"/>
  <c r="C85" i="17"/>
  <c r="D85" i="17"/>
  <c r="E85" i="17"/>
  <c r="F85" i="17"/>
  <c r="G85" i="17"/>
  <c r="B88" i="17"/>
  <c r="B87" i="17"/>
  <c r="B86" i="17"/>
  <c r="D61" i="17"/>
  <c r="E61" i="17"/>
  <c r="F61" i="17"/>
  <c r="G61" i="17"/>
  <c r="C61" i="17"/>
  <c r="B56" i="17"/>
  <c r="J25" i="17" l="1"/>
  <c r="J26" i="17" l="1"/>
  <c r="K25" i="17"/>
  <c r="K26" i="17" l="1"/>
  <c r="L25" i="17"/>
  <c r="L26" i="17" s="1"/>
  <c r="C56" i="17" l="1"/>
  <c r="C65" i="17" s="1"/>
  <c r="D56" i="17"/>
  <c r="D65" i="17" s="1"/>
  <c r="E56" i="17"/>
  <c r="E65" i="17" s="1"/>
  <c r="F56" i="17"/>
  <c r="F65" i="17" s="1"/>
  <c r="G56" i="17"/>
  <c r="G65" i="17" s="1"/>
  <c r="D29" i="17"/>
  <c r="E29" i="17"/>
  <c r="F29" i="17"/>
  <c r="G29" i="17"/>
  <c r="D30" i="17"/>
  <c r="E30" i="17"/>
  <c r="F30" i="17"/>
  <c r="G30" i="17"/>
  <c r="D31" i="17"/>
  <c r="E31" i="17"/>
  <c r="F31" i="17"/>
  <c r="G31" i="17"/>
  <c r="C30" i="17"/>
  <c r="C31" i="17"/>
  <c r="C29" i="17"/>
  <c r="G72" i="6"/>
  <c r="F68" i="6"/>
  <c r="E68" i="6"/>
  <c r="D68" i="6"/>
  <c r="C68" i="6"/>
  <c r="D55" i="6"/>
  <c r="K24" i="6"/>
  <c r="J24" i="6"/>
  <c r="I24" i="6"/>
  <c r="G35" i="5"/>
  <c r="G34" i="5"/>
  <c r="B31" i="5"/>
  <c r="G110" i="5"/>
  <c r="B113" i="5"/>
  <c r="C109" i="5" s="1"/>
  <c r="C113" i="5" s="1"/>
  <c r="D109" i="5" s="1"/>
  <c r="D113" i="5" s="1"/>
  <c r="E109" i="5" s="1"/>
  <c r="E113" i="5" s="1"/>
  <c r="F109" i="5" s="1"/>
  <c r="F113" i="5" s="1"/>
  <c r="C106" i="5"/>
  <c r="D101" i="5"/>
  <c r="D106" i="5" s="1"/>
  <c r="E101" i="5" s="1"/>
  <c r="E106" i="5" s="1"/>
  <c r="F101" i="5" s="1"/>
  <c r="F106" i="5" s="1"/>
  <c r="E24" i="5"/>
  <c r="E40" i="5" s="1"/>
  <c r="G41" i="5" s="1"/>
  <c r="D24" i="5"/>
  <c r="G81" i="17"/>
  <c r="F81" i="17"/>
  <c r="E81" i="17"/>
  <c r="D81" i="17"/>
  <c r="C81" i="17"/>
  <c r="B81" i="17"/>
  <c r="B82" i="17" s="1"/>
  <c r="C76" i="17"/>
  <c r="D76" i="17"/>
  <c r="E76" i="17"/>
  <c r="F76" i="17"/>
  <c r="G76" i="17"/>
  <c r="B76" i="17"/>
  <c r="C26" i="17"/>
  <c r="D26" i="17"/>
  <c r="E26" i="17"/>
  <c r="F26" i="17"/>
  <c r="G26" i="17"/>
  <c r="B26" i="17"/>
  <c r="F16" i="13"/>
  <c r="E16" i="13"/>
  <c r="D33" i="9" l="1"/>
  <c r="E33" i="9"/>
  <c r="F33" i="9"/>
  <c r="E15" i="9"/>
  <c r="F15" i="9"/>
  <c r="G15" i="9"/>
  <c r="D13" i="9"/>
  <c r="E13" i="9"/>
  <c r="F13" i="9"/>
  <c r="E28" i="9"/>
  <c r="F28" i="9"/>
  <c r="B82" i="6" l="1"/>
  <c r="B95" i="6" l="1"/>
  <c r="C93" i="6" s="1"/>
  <c r="C95" i="6" s="1"/>
  <c r="D93" i="6" s="1"/>
  <c r="D95" i="6" s="1"/>
  <c r="E93" i="6" s="1"/>
  <c r="E95" i="6" s="1"/>
  <c r="F93" i="6" s="1"/>
  <c r="F95" i="6" s="1"/>
  <c r="B90" i="6"/>
  <c r="G68" i="6"/>
  <c r="C87" i="6" l="1"/>
  <c r="C90" i="6" s="1"/>
  <c r="D87" i="6" s="1"/>
  <c r="D90" i="6" s="1"/>
  <c r="E87" i="6" s="1"/>
  <c r="E90" i="6" s="1"/>
  <c r="F87" i="6" s="1"/>
  <c r="F90" i="6" s="1"/>
  <c r="B97" i="6"/>
  <c r="C80" i="6"/>
  <c r="C49" i="6"/>
  <c r="D49" i="6"/>
  <c r="E49" i="6"/>
  <c r="F49" i="6"/>
  <c r="G49" i="6"/>
  <c r="H49" i="6" s="1"/>
  <c r="C50" i="6"/>
  <c r="D50" i="6"/>
  <c r="E50" i="6"/>
  <c r="F50" i="6"/>
  <c r="G50" i="6"/>
  <c r="B50" i="6"/>
  <c r="B49" i="6"/>
  <c r="C79" i="5"/>
  <c r="I49" i="6" l="1"/>
  <c r="C73" i="17"/>
  <c r="C77" i="17" s="1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B74" i="17"/>
  <c r="B75" i="17"/>
  <c r="G77" i="17" l="1"/>
  <c r="B77" i="17"/>
  <c r="F77" i="17"/>
  <c r="E77" i="17"/>
  <c r="D77" i="17"/>
  <c r="J49" i="6"/>
  <c r="K49" i="6" l="1"/>
  <c r="C143" i="6"/>
  <c r="D143" i="6"/>
  <c r="E143" i="6"/>
  <c r="F143" i="6"/>
  <c r="G143" i="6"/>
  <c r="B143" i="6"/>
  <c r="L49" i="6" l="1"/>
  <c r="C51" i="17"/>
  <c r="D51" i="17"/>
  <c r="E51" i="17"/>
  <c r="F51" i="17"/>
  <c r="G51" i="17"/>
  <c r="B51" i="17"/>
  <c r="B57" i="17" s="1"/>
  <c r="C6" i="17"/>
  <c r="D6" i="17"/>
  <c r="E6" i="17"/>
  <c r="F6" i="17"/>
  <c r="G6" i="17"/>
  <c r="B6" i="17"/>
  <c r="E62" i="17" l="1"/>
  <c r="E57" i="17"/>
  <c r="E66" i="17" s="1"/>
  <c r="C57" i="17"/>
  <c r="C66" i="17" s="1"/>
  <c r="C62" i="17"/>
  <c r="G62" i="17"/>
  <c r="G57" i="17"/>
  <c r="F62" i="17"/>
  <c r="F57" i="17"/>
  <c r="D62" i="17"/>
  <c r="D57" i="17"/>
  <c r="D66" i="17" s="1"/>
  <c r="G53" i="17"/>
  <c r="B53" i="17"/>
  <c r="E53" i="17"/>
  <c r="F53" i="17"/>
  <c r="D53" i="17"/>
  <c r="F66" i="17" l="1"/>
  <c r="G66" i="17"/>
  <c r="L73" i="6"/>
  <c r="K73" i="6"/>
  <c r="L68" i="6" s="1"/>
  <c r="L89" i="6" s="1"/>
  <c r="J73" i="6"/>
  <c r="K68" i="6" s="1"/>
  <c r="K89" i="6" s="1"/>
  <c r="I73" i="6"/>
  <c r="J68" i="6" s="1"/>
  <c r="J89" i="6" s="1"/>
  <c r="H73" i="6"/>
  <c r="I68" i="6" s="1"/>
  <c r="I89" i="6" s="1"/>
  <c r="G73" i="6"/>
  <c r="H68" i="6" s="1"/>
  <c r="H89" i="6" s="1"/>
  <c r="F73" i="6"/>
  <c r="G75" i="6" s="1"/>
  <c r="E73" i="6"/>
  <c r="F75" i="6" s="1"/>
  <c r="D73" i="6"/>
  <c r="E75" i="6" s="1"/>
  <c r="C73" i="6"/>
  <c r="D75" i="6" s="1"/>
  <c r="B73" i="6"/>
  <c r="C75" i="6" s="1"/>
  <c r="G76" i="6" l="1"/>
  <c r="H143" i="6"/>
  <c r="D103" i="6"/>
  <c r="E103" i="6"/>
  <c r="F103" i="6"/>
  <c r="C103" i="6"/>
  <c r="C82" i="6"/>
  <c r="D80" i="6" s="1"/>
  <c r="D82" i="6" s="1"/>
  <c r="E80" i="6" s="1"/>
  <c r="E82" i="6" s="1"/>
  <c r="F80" i="6" s="1"/>
  <c r="D29" i="6"/>
  <c r="E29" i="6"/>
  <c r="F29" i="6"/>
  <c r="G29" i="6"/>
  <c r="C29" i="6"/>
  <c r="C136" i="5"/>
  <c r="D136" i="5"/>
  <c r="E136" i="5"/>
  <c r="F136" i="5"/>
  <c r="G136" i="5"/>
  <c r="B136" i="5"/>
  <c r="C135" i="5"/>
  <c r="D135" i="5"/>
  <c r="E135" i="5"/>
  <c r="F135" i="5"/>
  <c r="G135" i="5"/>
  <c r="B135" i="5"/>
  <c r="C134" i="5"/>
  <c r="D134" i="5"/>
  <c r="E134" i="5"/>
  <c r="F134" i="5"/>
  <c r="G134" i="5"/>
  <c r="B134" i="5"/>
  <c r="C131" i="5"/>
  <c r="D131" i="5"/>
  <c r="E131" i="5"/>
  <c r="F131" i="5"/>
  <c r="G131" i="5"/>
  <c r="B131" i="5"/>
  <c r="C126" i="5"/>
  <c r="C127" i="5" s="1"/>
  <c r="D126" i="5"/>
  <c r="D127" i="5" s="1"/>
  <c r="E126" i="5"/>
  <c r="E127" i="5" s="1"/>
  <c r="F126" i="5"/>
  <c r="F127" i="5" s="1"/>
  <c r="G126" i="5"/>
  <c r="G127" i="5" s="1"/>
  <c r="B126" i="5"/>
  <c r="B127" i="5" s="1"/>
  <c r="C121" i="5"/>
  <c r="C122" i="5" s="1"/>
  <c r="D121" i="5"/>
  <c r="D122" i="5" s="1"/>
  <c r="E121" i="5"/>
  <c r="E122" i="5" s="1"/>
  <c r="F121" i="5"/>
  <c r="F122" i="5" s="1"/>
  <c r="G121" i="5"/>
  <c r="G122" i="5" s="1"/>
  <c r="B121" i="5"/>
  <c r="B122" i="5" s="1"/>
  <c r="D45" i="5"/>
  <c r="E45" i="5"/>
  <c r="F45" i="5"/>
  <c r="G45" i="5"/>
  <c r="C45" i="5"/>
  <c r="D44" i="5"/>
  <c r="E44" i="5"/>
  <c r="F44" i="5"/>
  <c r="G44" i="5"/>
  <c r="C44" i="5"/>
  <c r="C46" i="5" s="1"/>
  <c r="D80" i="5"/>
  <c r="E80" i="5"/>
  <c r="F80" i="5"/>
  <c r="G80" i="5"/>
  <c r="F81" i="5"/>
  <c r="G81" i="5"/>
  <c r="D82" i="5"/>
  <c r="E82" i="5"/>
  <c r="F82" i="5"/>
  <c r="G82" i="5"/>
  <c r="D84" i="5"/>
  <c r="E84" i="5"/>
  <c r="F84" i="5"/>
  <c r="G84" i="5"/>
  <c r="D85" i="5"/>
  <c r="E85" i="5"/>
  <c r="F85" i="5"/>
  <c r="G85" i="5"/>
  <c r="C82" i="5"/>
  <c r="C84" i="5"/>
  <c r="C85" i="5"/>
  <c r="C80" i="5"/>
  <c r="G123" i="5" l="1"/>
  <c r="G46" i="5"/>
  <c r="G128" i="5"/>
  <c r="D46" i="5"/>
  <c r="F46" i="5"/>
  <c r="E46" i="5"/>
  <c r="D137" i="5"/>
  <c r="D139" i="5" s="1"/>
  <c r="C137" i="5"/>
  <c r="C139" i="5" s="1"/>
  <c r="H94" i="6"/>
  <c r="L94" i="6"/>
  <c r="K94" i="6"/>
  <c r="J94" i="6"/>
  <c r="I94" i="6"/>
  <c r="F137" i="5"/>
  <c r="F139" i="5" s="1"/>
  <c r="E137" i="5"/>
  <c r="E139" i="5" s="1"/>
  <c r="B137" i="5"/>
  <c r="B139" i="5" s="1"/>
  <c r="G137" i="5"/>
  <c r="G139" i="5" s="1"/>
  <c r="C97" i="6"/>
  <c r="E97" i="6"/>
  <c r="C76" i="5"/>
  <c r="D76" i="5"/>
  <c r="E76" i="5"/>
  <c r="F76" i="5"/>
  <c r="G76" i="5"/>
  <c r="B76" i="5"/>
  <c r="D66" i="5"/>
  <c r="E66" i="5"/>
  <c r="F66" i="5"/>
  <c r="G66" i="5"/>
  <c r="C66" i="5"/>
  <c r="G140" i="5" l="1"/>
  <c r="D97" i="6"/>
  <c r="D17" i="6"/>
  <c r="E17" i="6"/>
  <c r="D26" i="6"/>
  <c r="E26" i="6"/>
  <c r="C12" i="6"/>
  <c r="D12" i="6"/>
  <c r="E12" i="6"/>
  <c r="F12" i="6"/>
  <c r="G12" i="6"/>
  <c r="B12" i="6"/>
  <c r="B21" i="6" s="1"/>
  <c r="C4" i="6"/>
  <c r="C8" i="6" s="1"/>
  <c r="C16" i="6" s="1"/>
  <c r="D4" i="6"/>
  <c r="D8" i="6" s="1"/>
  <c r="D16" i="6" s="1"/>
  <c r="E4" i="6"/>
  <c r="E8" i="6" s="1"/>
  <c r="E16" i="6" s="1"/>
  <c r="F4" i="6"/>
  <c r="F8" i="6" s="1"/>
  <c r="F16" i="6" s="1"/>
  <c r="B4" i="6"/>
  <c r="B9" i="6" s="1"/>
  <c r="C6" i="6" s="1"/>
  <c r="C7" i="6" l="1"/>
  <c r="C24" i="6" s="1"/>
  <c r="C9" i="6"/>
  <c r="D19" i="5"/>
  <c r="E19" i="5"/>
  <c r="E11" i="5"/>
  <c r="E75" i="5" s="1"/>
  <c r="F11" i="5"/>
  <c r="F75" i="5" s="1"/>
  <c r="C19" i="6" l="1"/>
  <c r="C81" i="5"/>
  <c r="E19" i="6"/>
  <c r="E81" i="5"/>
  <c r="D19" i="6"/>
  <c r="D81" i="5"/>
  <c r="D52" i="5"/>
  <c r="D57" i="5" s="1"/>
  <c r="D58" i="5" s="1"/>
  <c r="D87" i="5"/>
  <c r="E52" i="5"/>
  <c r="E57" i="5" s="1"/>
  <c r="E58" i="5" s="1"/>
  <c r="E87" i="5"/>
  <c r="C87" i="5"/>
  <c r="G52" i="5"/>
  <c r="G57" i="5" s="1"/>
  <c r="G87" i="5"/>
  <c r="F52" i="5"/>
  <c r="F57" i="5" s="1"/>
  <c r="F87" i="5"/>
  <c r="C36" i="4"/>
  <c r="C37" i="4" s="1"/>
  <c r="D36" i="4"/>
  <c r="D37" i="4" s="1"/>
  <c r="E36" i="4"/>
  <c r="E37" i="4" s="1"/>
  <c r="F36" i="4"/>
  <c r="F37" i="4" s="1"/>
  <c r="G36" i="4"/>
  <c r="G37" i="4" s="1"/>
  <c r="B36" i="4"/>
  <c r="B37" i="4" s="1"/>
  <c r="C32" i="4"/>
  <c r="C33" i="4" s="1"/>
  <c r="D32" i="4"/>
  <c r="D33" i="4" s="1"/>
  <c r="E32" i="4"/>
  <c r="E33" i="4" s="1"/>
  <c r="F32" i="4"/>
  <c r="F33" i="4" s="1"/>
  <c r="G32" i="4"/>
  <c r="G33" i="4" s="1"/>
  <c r="B32" i="4"/>
  <c r="B33" i="4" s="1"/>
  <c r="C28" i="4"/>
  <c r="C29" i="4" s="1"/>
  <c r="D28" i="4"/>
  <c r="D29" i="4" s="1"/>
  <c r="E28" i="4"/>
  <c r="E29" i="4" s="1"/>
  <c r="F28" i="4"/>
  <c r="F29" i="4" s="1"/>
  <c r="G28" i="4"/>
  <c r="G29" i="4" s="1"/>
  <c r="C24" i="4"/>
  <c r="C25" i="4" s="1"/>
  <c r="D24" i="4"/>
  <c r="D25" i="4" s="1"/>
  <c r="E24" i="4"/>
  <c r="E25" i="4" s="1"/>
  <c r="F24" i="4"/>
  <c r="F25" i="4" s="1"/>
  <c r="G24" i="4"/>
  <c r="G25" i="4" s="1"/>
  <c r="B24" i="4"/>
  <c r="B25" i="4" s="1"/>
  <c r="C20" i="3"/>
  <c r="D20" i="3"/>
  <c r="E20" i="3"/>
  <c r="G20" i="3"/>
  <c r="B20" i="3"/>
  <c r="C13" i="3"/>
  <c r="D13" i="3"/>
  <c r="D15" i="3" s="1"/>
  <c r="E13" i="3"/>
  <c r="E15" i="3" s="1"/>
  <c r="F13" i="3"/>
  <c r="F15" i="3" s="1"/>
  <c r="G13" i="3"/>
  <c r="B13" i="3"/>
  <c r="D7" i="3"/>
  <c r="E7" i="3"/>
  <c r="F7" i="3"/>
  <c r="G7" i="3"/>
  <c r="B7" i="3"/>
  <c r="C4" i="3"/>
  <c r="C9" i="3" s="1"/>
  <c r="D4" i="3"/>
  <c r="E4" i="3"/>
  <c r="F4" i="3"/>
  <c r="G4" i="3"/>
  <c r="B4" i="3"/>
  <c r="G15" i="3" l="1"/>
  <c r="H57" i="5"/>
  <c r="G58" i="5"/>
  <c r="G26" i="4"/>
  <c r="C15" i="3"/>
  <c r="G38" i="4"/>
  <c r="G34" i="4"/>
  <c r="B9" i="3"/>
  <c r="F58" i="5"/>
  <c r="G9" i="3"/>
  <c r="F9" i="3"/>
  <c r="G30" i="4"/>
  <c r="E9" i="3"/>
  <c r="D9" i="3"/>
  <c r="B15" i="3"/>
  <c r="G44" i="17"/>
  <c r="F44" i="17"/>
  <c r="E44" i="17"/>
  <c r="D44" i="17"/>
  <c r="C44" i="17"/>
  <c r="B44" i="17"/>
  <c r="C13" i="17"/>
  <c r="D13" i="17"/>
  <c r="E13" i="17"/>
  <c r="F13" i="17"/>
  <c r="G13" i="17"/>
  <c r="B13" i="17"/>
  <c r="D78" i="8"/>
  <c r="E78" i="8"/>
  <c r="F78" i="8"/>
  <c r="G78" i="8"/>
  <c r="C78" i="8"/>
  <c r="C45" i="8"/>
  <c r="D45" i="8"/>
  <c r="E45" i="8"/>
  <c r="F45" i="8"/>
  <c r="G45" i="8"/>
  <c r="B45" i="8"/>
  <c r="C39" i="8"/>
  <c r="D39" i="8"/>
  <c r="E39" i="8"/>
  <c r="F39" i="8"/>
  <c r="G39" i="8"/>
  <c r="B39" i="8"/>
  <c r="C31" i="8"/>
  <c r="D31" i="8"/>
  <c r="E31" i="8"/>
  <c r="F31" i="8"/>
  <c r="G31" i="8"/>
  <c r="B31" i="8"/>
  <c r="C57" i="9"/>
  <c r="D57" i="9"/>
  <c r="E57" i="9"/>
  <c r="F57" i="9"/>
  <c r="G57" i="9"/>
  <c r="C62" i="9"/>
  <c r="D62" i="9"/>
  <c r="E62" i="9"/>
  <c r="F62" i="9"/>
  <c r="G62" i="9"/>
  <c r="C63" i="9"/>
  <c r="D63" i="9"/>
  <c r="E63" i="9"/>
  <c r="F63" i="9"/>
  <c r="G63" i="9"/>
  <c r="C70" i="9"/>
  <c r="D70" i="9"/>
  <c r="E70" i="9"/>
  <c r="F70" i="9"/>
  <c r="G70" i="9"/>
  <c r="H70" i="9"/>
  <c r="C71" i="9"/>
  <c r="D71" i="9"/>
  <c r="E71" i="9"/>
  <c r="F71" i="9"/>
  <c r="G71" i="9"/>
  <c r="C77" i="9"/>
  <c r="D77" i="9"/>
  <c r="E77" i="9"/>
  <c r="F77" i="9"/>
  <c r="G77" i="9"/>
  <c r="D55" i="9"/>
  <c r="E55" i="9"/>
  <c r="F55" i="9"/>
  <c r="G55" i="9"/>
  <c r="C55" i="9"/>
  <c r="C29" i="9"/>
  <c r="D29" i="9"/>
  <c r="E29" i="9"/>
  <c r="F29" i="9"/>
  <c r="G29" i="9"/>
  <c r="C32" i="9"/>
  <c r="D32" i="9"/>
  <c r="E32" i="9"/>
  <c r="F32" i="9"/>
  <c r="G32" i="9"/>
  <c r="G33" i="9"/>
  <c r="H33" i="9"/>
  <c r="I33" i="9"/>
  <c r="J33" i="9"/>
  <c r="K33" i="9"/>
  <c r="L33" i="9"/>
  <c r="C34" i="9"/>
  <c r="D34" i="9"/>
  <c r="E34" i="9"/>
  <c r="F34" i="9"/>
  <c r="G34" i="9"/>
  <c r="C35" i="9"/>
  <c r="D35" i="9"/>
  <c r="E35" i="9"/>
  <c r="F35" i="9"/>
  <c r="G35" i="9"/>
  <c r="C39" i="9"/>
  <c r="D39" i="9"/>
  <c r="E39" i="9"/>
  <c r="F39" i="9"/>
  <c r="G39" i="9"/>
  <c r="H39" i="9"/>
  <c r="I39" i="9"/>
  <c r="J39" i="9"/>
  <c r="K39" i="9"/>
  <c r="L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H42" i="9"/>
  <c r="I42" i="9"/>
  <c r="J42" i="9"/>
  <c r="K42" i="9"/>
  <c r="L42" i="9"/>
  <c r="C43" i="9"/>
  <c r="D43" i="9"/>
  <c r="E43" i="9"/>
  <c r="F43" i="9"/>
  <c r="G43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2" i="9"/>
  <c r="D12" i="9"/>
  <c r="E12" i="9"/>
  <c r="F12" i="9"/>
  <c r="G12" i="9"/>
  <c r="G13" i="9"/>
  <c r="H13" i="9"/>
  <c r="I13" i="9"/>
  <c r="J13" i="9"/>
  <c r="K13" i="9"/>
  <c r="L13" i="9"/>
  <c r="C14" i="9"/>
  <c r="D14" i="9"/>
  <c r="E14" i="9"/>
  <c r="F14" i="9"/>
  <c r="G14" i="9"/>
  <c r="C16" i="9"/>
  <c r="D16" i="9"/>
  <c r="E16" i="9"/>
  <c r="F16" i="9"/>
  <c r="G16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G28" i="9"/>
  <c r="H28" i="9"/>
  <c r="I28" i="9"/>
  <c r="J28" i="9"/>
  <c r="K28" i="9"/>
  <c r="L28" i="9"/>
  <c r="B57" i="10"/>
  <c r="C57" i="10"/>
  <c r="D57" i="10"/>
  <c r="E57" i="10"/>
  <c r="F57" i="10"/>
  <c r="G57" i="10"/>
  <c r="B62" i="10"/>
  <c r="C62" i="10"/>
  <c r="D62" i="10"/>
  <c r="E62" i="10"/>
  <c r="F62" i="10"/>
  <c r="G62" i="10"/>
  <c r="B63" i="10"/>
  <c r="C63" i="10"/>
  <c r="D63" i="10"/>
  <c r="E63" i="10"/>
  <c r="F63" i="10"/>
  <c r="G63" i="10"/>
  <c r="B64" i="10"/>
  <c r="C64" i="10"/>
  <c r="D64" i="10"/>
  <c r="E64" i="10"/>
  <c r="F64" i="10"/>
  <c r="G64" i="10"/>
  <c r="B70" i="10"/>
  <c r="C70" i="10"/>
  <c r="D70" i="10"/>
  <c r="E70" i="10"/>
  <c r="F70" i="10"/>
  <c r="G70" i="10"/>
  <c r="B71" i="10"/>
  <c r="C71" i="10"/>
  <c r="D71" i="10"/>
  <c r="E71" i="10"/>
  <c r="F71" i="10"/>
  <c r="G71" i="10"/>
  <c r="B72" i="10"/>
  <c r="C72" i="10"/>
  <c r="D72" i="10"/>
  <c r="E72" i="10"/>
  <c r="F72" i="10"/>
  <c r="G72" i="10"/>
  <c r="B77" i="10"/>
  <c r="C77" i="10"/>
  <c r="D77" i="10"/>
  <c r="E77" i="10"/>
  <c r="F77" i="10"/>
  <c r="G77" i="10"/>
  <c r="C55" i="10"/>
  <c r="D55" i="10"/>
  <c r="E55" i="10"/>
  <c r="F55" i="10"/>
  <c r="G55" i="10"/>
  <c r="B55" i="10"/>
  <c r="F15" i="17" l="1"/>
  <c r="E15" i="17"/>
  <c r="G15" i="17"/>
  <c r="H13" i="17"/>
  <c r="I13" i="17" s="1"/>
  <c r="J13" i="17" s="1"/>
  <c r="K13" i="17" s="1"/>
  <c r="L13" i="17" s="1"/>
  <c r="L6" i="17" s="1"/>
  <c r="L55" i="13" s="1"/>
  <c r="D15" i="17"/>
  <c r="I57" i="5"/>
  <c r="H52" i="5"/>
  <c r="C15" i="17"/>
  <c r="G54" i="5"/>
  <c r="E54" i="5"/>
  <c r="F54" i="5"/>
  <c r="D54" i="5"/>
  <c r="D82" i="17"/>
  <c r="E82" i="17"/>
  <c r="F82" i="17"/>
  <c r="G82" i="17"/>
  <c r="C73" i="13"/>
  <c r="D73" i="13"/>
  <c r="E73" i="13"/>
  <c r="F73" i="13"/>
  <c r="G73" i="13"/>
  <c r="G73" i="10" s="1"/>
  <c r="B73" i="13"/>
  <c r="B73" i="10" s="1"/>
  <c r="C30" i="13"/>
  <c r="D30" i="13"/>
  <c r="E30" i="13"/>
  <c r="F30" i="13"/>
  <c r="G30" i="13"/>
  <c r="B30" i="13"/>
  <c r="L121" i="5" l="1"/>
  <c r="L16" i="13" s="1"/>
  <c r="L126" i="5"/>
  <c r="L35" i="13" s="1"/>
  <c r="L4" i="4"/>
  <c r="L7" i="13" s="1"/>
  <c r="L36" i="4"/>
  <c r="L29" i="13" s="1"/>
  <c r="L24" i="4"/>
  <c r="L24" i="13" s="1"/>
  <c r="L12" i="4"/>
  <c r="L9" i="13" s="1"/>
  <c r="L28" i="4"/>
  <c r="L25" i="13" s="1"/>
  <c r="I52" i="5"/>
  <c r="J57" i="5"/>
  <c r="C30" i="9"/>
  <c r="D30" i="9"/>
  <c r="E73" i="9"/>
  <c r="E73" i="10"/>
  <c r="D73" i="9"/>
  <c r="D73" i="10"/>
  <c r="C73" i="9"/>
  <c r="C73" i="10"/>
  <c r="F73" i="9"/>
  <c r="F73" i="10"/>
  <c r="G73" i="9"/>
  <c r="G30" i="9"/>
  <c r="F30" i="9"/>
  <c r="E30" i="9"/>
  <c r="F91" i="5"/>
  <c r="C91" i="5"/>
  <c r="E91" i="5"/>
  <c r="G91" i="5"/>
  <c r="D91" i="5"/>
  <c r="H54" i="5"/>
  <c r="I54" i="5"/>
  <c r="C82" i="17"/>
  <c r="K57" i="5" l="1"/>
  <c r="J52" i="5"/>
  <c r="J54" i="5"/>
  <c r="H91" i="5"/>
  <c r="I91" i="5"/>
  <c r="L57" i="5" l="1"/>
  <c r="L52" i="5" s="1"/>
  <c r="K52" i="5"/>
  <c r="J91" i="5"/>
  <c r="K54" i="5"/>
  <c r="K91" i="5" l="1"/>
  <c r="L54" i="5"/>
  <c r="L91" i="5" l="1"/>
  <c r="C14" i="6" l="1"/>
  <c r="F77" i="5" l="1"/>
  <c r="E77" i="5"/>
  <c r="C116" i="8" l="1"/>
  <c r="D116" i="8"/>
  <c r="E116" i="8"/>
  <c r="F116" i="8"/>
  <c r="G116" i="8"/>
  <c r="B116" i="8"/>
  <c r="C20" i="4" l="1"/>
  <c r="C21" i="4" s="1"/>
  <c r="D20" i="4"/>
  <c r="D21" i="4" s="1"/>
  <c r="E20" i="4"/>
  <c r="E21" i="4" s="1"/>
  <c r="F20" i="4"/>
  <c r="F21" i="4" s="1"/>
  <c r="G20" i="4"/>
  <c r="G21" i="4" s="1"/>
  <c r="B20" i="4"/>
  <c r="B21" i="4" s="1"/>
  <c r="C16" i="4"/>
  <c r="D16" i="4"/>
  <c r="E16" i="4"/>
  <c r="F16" i="4"/>
  <c r="G16" i="4"/>
  <c r="B16" i="4"/>
  <c r="C12" i="4"/>
  <c r="C13" i="4" s="1"/>
  <c r="D12" i="4"/>
  <c r="D13" i="4" s="1"/>
  <c r="E12" i="4"/>
  <c r="E13" i="4" s="1"/>
  <c r="F12" i="4"/>
  <c r="F13" i="4" s="1"/>
  <c r="G12" i="4"/>
  <c r="G13" i="4" s="1"/>
  <c r="B12" i="4"/>
  <c r="B13" i="4" s="1"/>
  <c r="C8" i="4"/>
  <c r="D8" i="4"/>
  <c r="E8" i="4"/>
  <c r="F8" i="4"/>
  <c r="G8" i="4"/>
  <c r="B8" i="4"/>
  <c r="C4" i="4"/>
  <c r="D4" i="4"/>
  <c r="E4" i="4"/>
  <c r="F4" i="4"/>
  <c r="B4" i="4"/>
  <c r="G14" i="4" l="1"/>
  <c r="G22" i="4"/>
  <c r="I117" i="6"/>
  <c r="J117" i="6"/>
  <c r="K117" i="6"/>
  <c r="L117" i="6"/>
  <c r="C51" i="6"/>
  <c r="D51" i="6"/>
  <c r="B51" i="6"/>
  <c r="C53" i="6" s="1"/>
  <c r="C57" i="6" s="1"/>
  <c r="D53" i="6" s="1"/>
  <c r="D57" i="6" s="1"/>
  <c r="E53" i="6" s="1"/>
  <c r="E57" i="6" s="1"/>
  <c r="F53" i="6" s="1"/>
  <c r="G53" i="6" s="1"/>
  <c r="C25" i="6"/>
  <c r="H57" i="6" l="1"/>
  <c r="H51" i="6" s="1"/>
  <c r="H50" i="6" s="1"/>
  <c r="H40" i="13" s="1"/>
  <c r="H6" i="17"/>
  <c r="H55" i="13" s="1"/>
  <c r="G93" i="6"/>
  <c r="E64" i="5"/>
  <c r="E68" i="5" s="1"/>
  <c r="D64" i="5"/>
  <c r="D68" i="5" s="1"/>
  <c r="C64" i="5"/>
  <c r="C68" i="5" s="1"/>
  <c r="G64" i="5"/>
  <c r="G68" i="5" s="1"/>
  <c r="F64" i="5"/>
  <c r="F68" i="5" s="1"/>
  <c r="G101" i="5"/>
  <c r="I53" i="6" l="1"/>
  <c r="I57" i="6" s="1"/>
  <c r="J53" i="6" s="1"/>
  <c r="G69" i="5"/>
  <c r="H121" i="5"/>
  <c r="H16" i="13" s="1"/>
  <c r="H66" i="5"/>
  <c r="H64" i="5" s="1"/>
  <c r="H126" i="5"/>
  <c r="H35" i="13" s="1"/>
  <c r="H4" i="4"/>
  <c r="H7" i="13" s="1"/>
  <c r="H94" i="13" s="1"/>
  <c r="H36" i="4"/>
  <c r="H29" i="13" s="1"/>
  <c r="H24" i="4"/>
  <c r="H24" i="13" s="1"/>
  <c r="H100" i="13" s="1"/>
  <c r="H12" i="4"/>
  <c r="H9" i="13" s="1"/>
  <c r="H28" i="4"/>
  <c r="H25" i="13" s="1"/>
  <c r="H101" i="13" s="1"/>
  <c r="H4" i="3"/>
  <c r="I6" i="17"/>
  <c r="H72" i="10"/>
  <c r="H64" i="10"/>
  <c r="H55" i="9"/>
  <c r="H70" i="10"/>
  <c r="H55" i="10"/>
  <c r="G95" i="6"/>
  <c r="G109" i="5"/>
  <c r="G113" i="5" s="1"/>
  <c r="F97" i="6"/>
  <c r="J57" i="6" l="1"/>
  <c r="K53" i="6" s="1"/>
  <c r="H96" i="13"/>
  <c r="H13" i="3"/>
  <c r="H62" i="13" s="1"/>
  <c r="H7" i="3"/>
  <c r="H57" i="13" s="1"/>
  <c r="H103" i="13"/>
  <c r="H105" i="13"/>
  <c r="H97" i="13"/>
  <c r="I55" i="13"/>
  <c r="I64" i="10" s="1"/>
  <c r="I72" i="10"/>
  <c r="J6" i="17"/>
  <c r="J55" i="13" s="1"/>
  <c r="H9" i="9"/>
  <c r="H25" i="9"/>
  <c r="H16" i="9"/>
  <c r="H29" i="9"/>
  <c r="H35" i="9"/>
  <c r="H24" i="9"/>
  <c r="H93" i="6"/>
  <c r="H95" i="6" s="1"/>
  <c r="I93" i="6" s="1"/>
  <c r="G87" i="6"/>
  <c r="G90" i="6" s="1"/>
  <c r="G97" i="6" s="1"/>
  <c r="K57" i="6" l="1"/>
  <c r="L53" i="6" s="1"/>
  <c r="L57" i="6" s="1"/>
  <c r="I66" i="5"/>
  <c r="I64" i="5" s="1"/>
  <c r="I126" i="5"/>
  <c r="I35" i="13" s="1"/>
  <c r="I121" i="5"/>
  <c r="I16" i="13" s="1"/>
  <c r="I24" i="4"/>
  <c r="I24" i="13" s="1"/>
  <c r="I100" i="13" s="1"/>
  <c r="I4" i="4"/>
  <c r="I7" i="13" s="1"/>
  <c r="I94" i="13" s="1"/>
  <c r="I36" i="4"/>
  <c r="I29" i="13" s="1"/>
  <c r="I28" i="4"/>
  <c r="I25" i="13" s="1"/>
  <c r="I101" i="13" s="1"/>
  <c r="I12" i="4"/>
  <c r="I9" i="13" s="1"/>
  <c r="I55" i="9"/>
  <c r="J126" i="5"/>
  <c r="J35" i="13" s="1"/>
  <c r="J121" i="5"/>
  <c r="J16" i="13" s="1"/>
  <c r="J24" i="4"/>
  <c r="J24" i="13" s="1"/>
  <c r="J100" i="13" s="1"/>
  <c r="J36" i="4"/>
  <c r="J29" i="13" s="1"/>
  <c r="J12" i="4"/>
  <c r="J9" i="13" s="1"/>
  <c r="J4" i="4"/>
  <c r="J7" i="13" s="1"/>
  <c r="J28" i="4"/>
  <c r="J25" i="13" s="1"/>
  <c r="I4" i="3"/>
  <c r="H20" i="4"/>
  <c r="H23" i="13" s="1"/>
  <c r="H99" i="13" s="1"/>
  <c r="H16" i="4"/>
  <c r="H22" i="13" s="1"/>
  <c r="H98" i="13" s="1"/>
  <c r="H8" i="4"/>
  <c r="H8" i="13" s="1"/>
  <c r="H95" i="13" s="1"/>
  <c r="I55" i="10"/>
  <c r="I25" i="9"/>
  <c r="I24" i="9"/>
  <c r="K6" i="17"/>
  <c r="K55" i="13" s="1"/>
  <c r="J4" i="3"/>
  <c r="J66" i="5"/>
  <c r="J64" i="5" s="1"/>
  <c r="J72" i="10"/>
  <c r="J55" i="10"/>
  <c r="J55" i="9"/>
  <c r="J64" i="10"/>
  <c r="H62" i="9"/>
  <c r="H62" i="10"/>
  <c r="I35" i="9"/>
  <c r="H57" i="9"/>
  <c r="H57" i="10"/>
  <c r="H78" i="8"/>
  <c r="H87" i="6"/>
  <c r="J96" i="13" l="1"/>
  <c r="I96" i="13"/>
  <c r="I9" i="9"/>
  <c r="J97" i="13"/>
  <c r="I16" i="9"/>
  <c r="I97" i="13"/>
  <c r="I13" i="3"/>
  <c r="I62" i="13" s="1"/>
  <c r="I7" i="3"/>
  <c r="I57" i="13" s="1"/>
  <c r="J105" i="13"/>
  <c r="I105" i="13"/>
  <c r="J103" i="13"/>
  <c r="I103" i="13"/>
  <c r="I29" i="9"/>
  <c r="J101" i="13"/>
  <c r="J94" i="13"/>
  <c r="J7" i="3"/>
  <c r="J57" i="13" s="1"/>
  <c r="J13" i="3"/>
  <c r="J62" i="13" s="1"/>
  <c r="K96" i="13"/>
  <c r="K126" i="5"/>
  <c r="K35" i="13" s="1"/>
  <c r="L105" i="13" s="1"/>
  <c r="K121" i="5"/>
  <c r="K16" i="13" s="1"/>
  <c r="L97" i="13" s="1"/>
  <c r="K4" i="4"/>
  <c r="K7" i="13" s="1"/>
  <c r="K36" i="4"/>
  <c r="K29" i="13" s="1"/>
  <c r="L103" i="13" s="1"/>
  <c r="K24" i="4"/>
  <c r="K24" i="13" s="1"/>
  <c r="K28" i="4"/>
  <c r="K25" i="13" s="1"/>
  <c r="K12" i="4"/>
  <c r="K9" i="13" s="1"/>
  <c r="L96" i="13" s="1"/>
  <c r="J16" i="9"/>
  <c r="J9" i="9"/>
  <c r="J35" i="9"/>
  <c r="J29" i="9"/>
  <c r="J25" i="9"/>
  <c r="J24" i="9"/>
  <c r="K66" i="5"/>
  <c r="K64" i="5" s="1"/>
  <c r="K55" i="10"/>
  <c r="K55" i="9"/>
  <c r="K72" i="10"/>
  <c r="K64" i="10"/>
  <c r="K4" i="3"/>
  <c r="H23" i="9"/>
  <c r="H22" i="9"/>
  <c r="H8" i="9"/>
  <c r="D64" i="8"/>
  <c r="E64" i="8"/>
  <c r="F64" i="8"/>
  <c r="G64" i="8"/>
  <c r="H64" i="8"/>
  <c r="C64" i="8"/>
  <c r="D63" i="8"/>
  <c r="E63" i="8"/>
  <c r="F63" i="8"/>
  <c r="G63" i="8"/>
  <c r="H63" i="8"/>
  <c r="C63" i="8"/>
  <c r="D77" i="8"/>
  <c r="E77" i="8"/>
  <c r="F77" i="8"/>
  <c r="G77" i="8"/>
  <c r="C77" i="8"/>
  <c r="K94" i="13" l="1"/>
  <c r="L94" i="13"/>
  <c r="I20" i="4"/>
  <c r="I23" i="13" s="1"/>
  <c r="I99" i="13" s="1"/>
  <c r="I8" i="4"/>
  <c r="I8" i="13" s="1"/>
  <c r="I95" i="13" s="1"/>
  <c r="I16" i="4"/>
  <c r="I22" i="13" s="1"/>
  <c r="I62" i="9"/>
  <c r="I62" i="10"/>
  <c r="K13" i="3"/>
  <c r="K62" i="13" s="1"/>
  <c r="K7" i="3"/>
  <c r="K57" i="13" s="1"/>
  <c r="I57" i="9"/>
  <c r="J8" i="4"/>
  <c r="J8" i="13" s="1"/>
  <c r="J20" i="4"/>
  <c r="J23" i="13" s="1"/>
  <c r="J16" i="4"/>
  <c r="J22" i="13" s="1"/>
  <c r="I78" i="8"/>
  <c r="K105" i="13"/>
  <c r="I63" i="8"/>
  <c r="I57" i="10"/>
  <c r="K103" i="13"/>
  <c r="K101" i="13"/>
  <c r="L101" i="13"/>
  <c r="K100" i="13"/>
  <c r="L100" i="13"/>
  <c r="K97" i="13"/>
  <c r="K25" i="9"/>
  <c r="K9" i="9"/>
  <c r="K35" i="9"/>
  <c r="K16" i="9"/>
  <c r="K24" i="9"/>
  <c r="K29" i="9"/>
  <c r="J57" i="9"/>
  <c r="J57" i="10"/>
  <c r="J78" i="8"/>
  <c r="L66" i="5"/>
  <c r="L64" i="5" s="1"/>
  <c r="L55" i="10"/>
  <c r="L55" i="9"/>
  <c r="L29" i="9"/>
  <c r="L16" i="9"/>
  <c r="L25" i="9"/>
  <c r="L64" i="10"/>
  <c r="L9" i="9"/>
  <c r="L24" i="9"/>
  <c r="L72" i="10"/>
  <c r="L4" i="3"/>
  <c r="J62" i="10"/>
  <c r="J62" i="9"/>
  <c r="H77" i="8"/>
  <c r="D55" i="8"/>
  <c r="E55" i="8"/>
  <c r="F55" i="8"/>
  <c r="G55" i="8"/>
  <c r="C55" i="8"/>
  <c r="K8" i="4" l="1"/>
  <c r="K8" i="13" s="1"/>
  <c r="K95" i="13" s="1"/>
  <c r="K20" i="4"/>
  <c r="K23" i="13" s="1"/>
  <c r="K99" i="13" s="1"/>
  <c r="K16" i="4"/>
  <c r="K22" i="13" s="1"/>
  <c r="K98" i="13" s="1"/>
  <c r="L13" i="3"/>
  <c r="L62" i="13" s="1"/>
  <c r="L7" i="3"/>
  <c r="L57" i="13" s="1"/>
  <c r="I98" i="13"/>
  <c r="I22" i="9"/>
  <c r="J98" i="13"/>
  <c r="I23" i="9"/>
  <c r="J99" i="13"/>
  <c r="J95" i="13"/>
  <c r="K57" i="10"/>
  <c r="K78" i="8"/>
  <c r="K57" i="9"/>
  <c r="J23" i="9"/>
  <c r="J22" i="9"/>
  <c r="K62" i="10"/>
  <c r="K62" i="9"/>
  <c r="K63" i="8"/>
  <c r="L35" i="9"/>
  <c r="I8" i="9"/>
  <c r="I64" i="8"/>
  <c r="J63" i="8"/>
  <c r="I77" i="8"/>
  <c r="F82" i="6"/>
  <c r="L16" i="4" l="1"/>
  <c r="L22" i="13" s="1"/>
  <c r="L98" i="13" s="1"/>
  <c r="L20" i="4"/>
  <c r="L23" i="13" s="1"/>
  <c r="L99" i="13" s="1"/>
  <c r="L8" i="4"/>
  <c r="L8" i="13" s="1"/>
  <c r="L95" i="13" s="1"/>
  <c r="K22" i="9"/>
  <c r="L62" i="9"/>
  <c r="L62" i="10"/>
  <c r="L23" i="9"/>
  <c r="L57" i="10"/>
  <c r="L78" i="8"/>
  <c r="L57" i="9"/>
  <c r="L22" i="9"/>
  <c r="K23" i="9"/>
  <c r="K64" i="8"/>
  <c r="J77" i="8"/>
  <c r="J8" i="9" l="1"/>
  <c r="K8" i="9"/>
  <c r="J64" i="8"/>
  <c r="L63" i="8"/>
  <c r="K77" i="8"/>
  <c r="L8" i="9" l="1"/>
  <c r="L64" i="8"/>
  <c r="L77" i="8"/>
  <c r="J85" i="8"/>
  <c r="J103" i="8"/>
  <c r="J56" i="8"/>
  <c r="J96" i="8"/>
  <c r="J110" i="8"/>
  <c r="L59" i="13"/>
  <c r="L85" i="8"/>
  <c r="L56" i="8"/>
  <c r="L96" i="8"/>
  <c r="L110" i="8"/>
  <c r="L103" i="8"/>
  <c r="K59" i="13"/>
  <c r="K85" i="8"/>
  <c r="K103" i="8"/>
  <c r="K96" i="8"/>
  <c r="K110" i="8"/>
  <c r="K56" i="8"/>
  <c r="I85" i="8"/>
  <c r="I56" i="8"/>
  <c r="I96" i="8"/>
  <c r="I110" i="8"/>
  <c r="I103" i="8"/>
  <c r="H85" i="8"/>
  <c r="H56" i="8"/>
  <c r="H96" i="8"/>
  <c r="H110" i="8"/>
  <c r="H103" i="8"/>
  <c r="J59" i="13"/>
  <c r="I59" i="13"/>
  <c r="I59" i="10" s="1"/>
  <c r="H59" i="13"/>
  <c r="G127" i="13"/>
  <c r="F127" i="13"/>
  <c r="E127" i="13"/>
  <c r="D127" i="13"/>
  <c r="C127" i="13"/>
  <c r="B127" i="13"/>
  <c r="G116" i="13"/>
  <c r="F116" i="13"/>
  <c r="E116" i="13"/>
  <c r="D116" i="13"/>
  <c r="C116" i="13"/>
  <c r="B116" i="13"/>
  <c r="G65" i="13"/>
  <c r="G65" i="10" s="1"/>
  <c r="F65" i="13"/>
  <c r="E65" i="13"/>
  <c r="D65" i="13"/>
  <c r="C65" i="13"/>
  <c r="B65" i="13"/>
  <c r="B65" i="10" s="1"/>
  <c r="G44" i="13"/>
  <c r="G32" i="8" s="1"/>
  <c r="F44" i="13"/>
  <c r="E44" i="13"/>
  <c r="D44" i="13"/>
  <c r="C44" i="13"/>
  <c r="B44" i="13"/>
  <c r="B32" i="8" s="1"/>
  <c r="B8" i="8"/>
  <c r="E65" i="10" l="1"/>
  <c r="E65" i="9"/>
  <c r="F65" i="10"/>
  <c r="F65" i="9"/>
  <c r="G65" i="9"/>
  <c r="D65" i="9"/>
  <c r="D65" i="10"/>
  <c r="C65" i="9"/>
  <c r="C65" i="10"/>
  <c r="C44" i="9"/>
  <c r="C32" i="8"/>
  <c r="D44" i="9"/>
  <c r="D32" i="8"/>
  <c r="E32" i="8"/>
  <c r="E44" i="9"/>
  <c r="F32" i="8"/>
  <c r="G44" i="9"/>
  <c r="F44" i="9"/>
  <c r="H7" i="9"/>
  <c r="K7" i="9"/>
  <c r="I7" i="9"/>
  <c r="J7" i="9"/>
  <c r="L7" i="9"/>
  <c r="L59" i="10"/>
  <c r="L59" i="9"/>
  <c r="J59" i="10"/>
  <c r="J59" i="9"/>
  <c r="K59" i="10"/>
  <c r="K59" i="9"/>
  <c r="I59" i="9"/>
  <c r="H59" i="10"/>
  <c r="D8" i="8"/>
  <c r="E8" i="8"/>
  <c r="C8" i="8"/>
  <c r="F8" i="8"/>
  <c r="G8" i="8"/>
  <c r="L55" i="8"/>
  <c r="I55" i="8"/>
  <c r="H55" i="8"/>
  <c r="K55" i="8"/>
  <c r="J55" i="8"/>
  <c r="J95" i="8"/>
  <c r="H95" i="8"/>
  <c r="L95" i="8"/>
  <c r="K95" i="8"/>
  <c r="I95" i="8"/>
  <c r="G59" i="13"/>
  <c r="G59" i="10" s="1"/>
  <c r="G85" i="8"/>
  <c r="G96" i="8"/>
  <c r="G103" i="8"/>
  <c r="G110" i="8"/>
  <c r="G56" i="8"/>
  <c r="F59" i="13"/>
  <c r="F85" i="8"/>
  <c r="F110" i="8"/>
  <c r="F96" i="8"/>
  <c r="F103" i="8"/>
  <c r="F56" i="8"/>
  <c r="E59" i="13"/>
  <c r="E85" i="8"/>
  <c r="E56" i="8"/>
  <c r="E96" i="8"/>
  <c r="E103" i="8"/>
  <c r="E110" i="8"/>
  <c r="D59" i="13"/>
  <c r="D85" i="8"/>
  <c r="D96" i="8"/>
  <c r="D56" i="8"/>
  <c r="D103" i="8"/>
  <c r="D110" i="8"/>
  <c r="C59" i="13"/>
  <c r="C85" i="8"/>
  <c r="C96" i="8"/>
  <c r="C56" i="8"/>
  <c r="C110" i="8"/>
  <c r="C103" i="8"/>
  <c r="B59" i="13"/>
  <c r="B59" i="10" s="1"/>
  <c r="B96" i="8"/>
  <c r="B110" i="8"/>
  <c r="B103" i="8"/>
  <c r="F138" i="8"/>
  <c r="E138" i="8"/>
  <c r="D138" i="8"/>
  <c r="C138" i="8"/>
  <c r="G36" i="13"/>
  <c r="G24" i="8" s="1"/>
  <c r="G15" i="8"/>
  <c r="F36" i="13"/>
  <c r="F15" i="8"/>
  <c r="E36" i="13"/>
  <c r="E15" i="8"/>
  <c r="D36" i="13"/>
  <c r="D15" i="8"/>
  <c r="C36" i="13"/>
  <c r="C15" i="8"/>
  <c r="B36" i="13"/>
  <c r="B15" i="8"/>
  <c r="G138" i="8"/>
  <c r="E36" i="9" l="1"/>
  <c r="D36" i="9"/>
  <c r="H59" i="9"/>
  <c r="D59" i="10"/>
  <c r="D59" i="9"/>
  <c r="C59" i="10"/>
  <c r="C59" i="9"/>
  <c r="E59" i="10"/>
  <c r="E59" i="9"/>
  <c r="F59" i="9"/>
  <c r="G59" i="9"/>
  <c r="F59" i="10"/>
  <c r="C36" i="9"/>
  <c r="F36" i="9"/>
  <c r="G36" i="9"/>
  <c r="H43" i="9"/>
  <c r="C67" i="13"/>
  <c r="E67" i="13"/>
  <c r="B67" i="13"/>
  <c r="B67" i="10" s="1"/>
  <c r="D67" i="13"/>
  <c r="F67" i="13"/>
  <c r="F24" i="8"/>
  <c r="E46" i="13"/>
  <c r="D46" i="13"/>
  <c r="C46" i="13"/>
  <c r="G67" i="13"/>
  <c r="G95" i="8"/>
  <c r="F95" i="8"/>
  <c r="E95" i="8"/>
  <c r="D95" i="8"/>
  <c r="C95" i="8"/>
  <c r="B95" i="8"/>
  <c r="G46" i="13"/>
  <c r="F46" i="13"/>
  <c r="E24" i="8"/>
  <c r="D24" i="8"/>
  <c r="C24" i="8"/>
  <c r="B24" i="8"/>
  <c r="B46" i="13"/>
  <c r="G75" i="13" l="1"/>
  <c r="G21" i="3" s="1"/>
  <c r="G22" i="3" s="1"/>
  <c r="G67" i="10"/>
  <c r="F75" i="13"/>
  <c r="F21" i="3" s="1"/>
  <c r="F22" i="3" s="1"/>
  <c r="F67" i="10"/>
  <c r="G67" i="9"/>
  <c r="F67" i="9"/>
  <c r="C75" i="13"/>
  <c r="C67" i="10"/>
  <c r="C67" i="9"/>
  <c r="D75" i="13"/>
  <c r="D67" i="10"/>
  <c r="D67" i="9"/>
  <c r="E75" i="13"/>
  <c r="E67" i="10"/>
  <c r="E67" i="9"/>
  <c r="E46" i="9"/>
  <c r="D46" i="9"/>
  <c r="C46" i="9"/>
  <c r="F46" i="9"/>
  <c r="G46" i="9"/>
  <c r="I43" i="9"/>
  <c r="B102" i="8"/>
  <c r="B75" i="13"/>
  <c r="B21" i="3" s="1"/>
  <c r="B22" i="3" s="1"/>
  <c r="C102" i="8"/>
  <c r="C38" i="8"/>
  <c r="E38" i="8"/>
  <c r="E102" i="8"/>
  <c r="B38" i="8"/>
  <c r="G102" i="8"/>
  <c r="G38" i="8"/>
  <c r="F102" i="8"/>
  <c r="F38" i="8"/>
  <c r="D102" i="8"/>
  <c r="D38" i="8"/>
  <c r="G46" i="8" l="1"/>
  <c r="G75" i="10"/>
  <c r="D21" i="3"/>
  <c r="D22" i="3" s="1"/>
  <c r="D75" i="10"/>
  <c r="D46" i="8"/>
  <c r="D75" i="9"/>
  <c r="C21" i="3"/>
  <c r="C22" i="3" s="1"/>
  <c r="C46" i="8"/>
  <c r="C75" i="9"/>
  <c r="C75" i="10"/>
  <c r="B46" i="8"/>
  <c r="B75" i="10"/>
  <c r="E21" i="3"/>
  <c r="E22" i="3" s="1"/>
  <c r="E75" i="10"/>
  <c r="E46" i="8"/>
  <c r="E75" i="9"/>
  <c r="F75" i="10"/>
  <c r="F46" i="8"/>
  <c r="F75" i="9"/>
  <c r="G75" i="9"/>
  <c r="D117" i="8"/>
  <c r="D119" i="8" s="1"/>
  <c r="D130" i="8" s="1"/>
  <c r="G117" i="8"/>
  <c r="G119" i="8" s="1"/>
  <c r="G130" i="8" s="1"/>
  <c r="C117" i="8"/>
  <c r="C119" i="8" s="1"/>
  <c r="C130" i="8" s="1"/>
  <c r="F117" i="8"/>
  <c r="F119" i="8" s="1"/>
  <c r="F130" i="8" s="1"/>
  <c r="E79" i="13"/>
  <c r="E117" i="8"/>
  <c r="E119" i="8" s="1"/>
  <c r="C79" i="13"/>
  <c r="G79" i="13"/>
  <c r="G109" i="8" s="1"/>
  <c r="F79" i="13"/>
  <c r="D79" i="13"/>
  <c r="G79" i="10" l="1"/>
  <c r="G123" i="8"/>
  <c r="D79" i="10"/>
  <c r="D79" i="9"/>
  <c r="D123" i="8"/>
  <c r="F79" i="10"/>
  <c r="F79" i="9"/>
  <c r="F123" i="8"/>
  <c r="G79" i="9"/>
  <c r="C123" i="8"/>
  <c r="C79" i="10"/>
  <c r="E79" i="10"/>
  <c r="E79" i="9"/>
  <c r="E123" i="8"/>
  <c r="J43" i="9"/>
  <c r="E87" i="13"/>
  <c r="E107" i="13" s="1"/>
  <c r="E129" i="13" s="1"/>
  <c r="E137" i="8"/>
  <c r="E109" i="8"/>
  <c r="C87" i="13"/>
  <c r="C107" i="13" s="1"/>
  <c r="C129" i="13" s="1"/>
  <c r="C137" i="8"/>
  <c r="C109" i="8"/>
  <c r="E130" i="8"/>
  <c r="G87" i="13"/>
  <c r="G107" i="13" s="1"/>
  <c r="G129" i="13" s="1"/>
  <c r="G137" i="8"/>
  <c r="F87" i="13"/>
  <c r="F107" i="13" s="1"/>
  <c r="F129" i="13" s="1"/>
  <c r="D87" i="13"/>
  <c r="D107" i="13" s="1"/>
  <c r="D129" i="13" s="1"/>
  <c r="F137" i="8"/>
  <c r="F109" i="8"/>
  <c r="D137" i="8"/>
  <c r="D109" i="8"/>
  <c r="H15" i="9" l="1"/>
  <c r="H136" i="5"/>
  <c r="L43" i="9"/>
  <c r="K43" i="9"/>
  <c r="I15" i="9" l="1"/>
  <c r="I136" i="5"/>
  <c r="H135" i="5"/>
  <c r="H14" i="9"/>
  <c r="J15" i="9" l="1"/>
  <c r="J136" i="5"/>
  <c r="I135" i="5"/>
  <c r="I14" i="9"/>
  <c r="K15" i="9" l="1"/>
  <c r="K136" i="5"/>
  <c r="J135" i="5"/>
  <c r="J14" i="9"/>
  <c r="L15" i="9" l="1"/>
  <c r="L136" i="5"/>
  <c r="K135" i="5"/>
  <c r="K14" i="9"/>
  <c r="L135" i="5" l="1"/>
  <c r="L14" i="9"/>
  <c r="F31" i="5"/>
  <c r="F51" i="6"/>
  <c r="G83" i="5"/>
  <c r="F23" i="5" l="1"/>
  <c r="F83" i="5" s="1"/>
  <c r="G11" i="5"/>
  <c r="G75" i="5" s="1"/>
  <c r="H76" i="5" l="1"/>
  <c r="G77" i="5"/>
  <c r="G66" i="8"/>
  <c r="G9" i="4" s="1"/>
  <c r="F66" i="8"/>
  <c r="F9" i="4" s="1"/>
  <c r="E59" i="8"/>
  <c r="E5" i="4" s="1"/>
  <c r="D66" i="8"/>
  <c r="D9" i="4" s="1"/>
  <c r="G34" i="8"/>
  <c r="D81" i="8"/>
  <c r="D17" i="4" s="1"/>
  <c r="F81" i="8"/>
  <c r="F17" i="4" s="1"/>
  <c r="E66" i="8"/>
  <c r="E9" i="4" s="1"/>
  <c r="E81" i="8"/>
  <c r="E17" i="4" s="1"/>
  <c r="G59" i="8"/>
  <c r="G5" i="4" s="1"/>
  <c r="D59" i="8"/>
  <c r="D5" i="4" s="1"/>
  <c r="F34" i="8"/>
  <c r="G81" i="8"/>
  <c r="G17" i="4" s="1"/>
  <c r="F105" i="8"/>
  <c r="G105" i="8"/>
  <c r="F59" i="8"/>
  <c r="F5" i="4" s="1"/>
  <c r="G98" i="8"/>
  <c r="F98" i="8"/>
  <c r="G15" i="5"/>
  <c r="F15" i="5"/>
  <c r="E71" i="8" l="1"/>
  <c r="E73" i="8" s="1"/>
  <c r="F71" i="8"/>
  <c r="F73" i="8" s="1"/>
  <c r="G71" i="8"/>
  <c r="G73" i="8" s="1"/>
  <c r="D71" i="8"/>
  <c r="D73" i="8" s="1"/>
  <c r="G41" i="8"/>
  <c r="G48" i="8"/>
  <c r="F41" i="8"/>
  <c r="F48" i="8"/>
  <c r="F112" i="8" l="1"/>
  <c r="G140" i="8"/>
  <c r="G112" i="8"/>
  <c r="H115" i="6" l="1"/>
  <c r="C15" i="6" l="1"/>
  <c r="D11" i="5" l="1"/>
  <c r="D75" i="5" s="1"/>
  <c r="D77" i="5" s="1"/>
  <c r="C11" i="5"/>
  <c r="C75" i="5" s="1"/>
  <c r="C77" i="5" s="1"/>
  <c r="B11" i="5"/>
  <c r="B75" i="5" s="1"/>
  <c r="B77" i="5" s="1"/>
  <c r="C15" i="5" l="1"/>
  <c r="C31" i="5"/>
  <c r="D15" i="5"/>
  <c r="D31" i="5"/>
  <c r="D23" i="5" s="1"/>
  <c r="D83" i="5" s="1"/>
  <c r="B15" i="5"/>
  <c r="C23" i="5" l="1"/>
  <c r="C83" i="5" s="1"/>
  <c r="C86" i="5" s="1"/>
  <c r="C88" i="5" s="1"/>
  <c r="C26" i="5"/>
  <c r="C93" i="5" l="1"/>
  <c r="D79" i="5"/>
  <c r="D86" i="5" s="1"/>
  <c r="D88" i="5" s="1"/>
  <c r="D93" i="5" s="1"/>
  <c r="D94" i="5" s="1"/>
  <c r="E79" i="5"/>
  <c r="D18" i="5"/>
  <c r="D26" i="5" s="1"/>
  <c r="C34" i="8"/>
  <c r="D34" i="8"/>
  <c r="D98" i="8"/>
  <c r="C98" i="8"/>
  <c r="E18" i="5" l="1"/>
  <c r="D105" i="8"/>
  <c r="C105" i="8"/>
  <c r="D48" i="8" l="1"/>
  <c r="D41" i="8"/>
  <c r="C48" i="8"/>
  <c r="C41" i="8"/>
  <c r="D140" i="8" l="1"/>
  <c r="D112" i="8"/>
  <c r="C112" i="8" l="1"/>
  <c r="E51" i="6" l="1"/>
  <c r="F140" i="8" l="1"/>
  <c r="E34" i="8"/>
  <c r="E98" i="8"/>
  <c r="E15" i="5"/>
  <c r="E31" i="5"/>
  <c r="E23" i="5" s="1"/>
  <c r="E83" i="5" s="1"/>
  <c r="E86" i="5" s="1"/>
  <c r="E88" i="5" s="1"/>
  <c r="E93" i="5" s="1"/>
  <c r="E94" i="5" s="1"/>
  <c r="F79" i="5" l="1"/>
  <c r="F86" i="5" s="1"/>
  <c r="F88" i="5" s="1"/>
  <c r="E105" i="8"/>
  <c r="G79" i="5" l="1"/>
  <c r="F93" i="5"/>
  <c r="F94" i="5" s="1"/>
  <c r="G86" i="5"/>
  <c r="G88" i="5" s="1"/>
  <c r="E48" i="8"/>
  <c r="E41" i="8"/>
  <c r="H79" i="5" l="1"/>
  <c r="H86" i="5" s="1"/>
  <c r="G93" i="5"/>
  <c r="E140" i="8"/>
  <c r="E112" i="8"/>
  <c r="H93" i="5" l="1"/>
  <c r="G94" i="5"/>
  <c r="C81" i="8"/>
  <c r="C17" i="4" s="1"/>
  <c r="G18" i="4" s="1"/>
  <c r="C59" i="8"/>
  <c r="C5" i="4" s="1"/>
  <c r="G6" i="4" s="1"/>
  <c r="H88" i="5" l="1"/>
  <c r="I93" i="5"/>
  <c r="E26" i="5"/>
  <c r="F18" i="5" s="1"/>
  <c r="F26" i="5" s="1"/>
  <c r="J93" i="5" l="1"/>
  <c r="I88" i="5"/>
  <c r="H87" i="5"/>
  <c r="I79" i="5"/>
  <c r="G18" i="5"/>
  <c r="G26" i="5" s="1"/>
  <c r="H18" i="5" s="1"/>
  <c r="H66" i="8"/>
  <c r="H71" i="8" s="1"/>
  <c r="H73" i="8" s="1"/>
  <c r="B98" i="8"/>
  <c r="H19" i="5" l="1"/>
  <c r="H11" i="5" s="1"/>
  <c r="I24" i="5" s="1"/>
  <c r="H75" i="5"/>
  <c r="J79" i="5"/>
  <c r="K93" i="5"/>
  <c r="J88" i="5"/>
  <c r="K79" i="5" s="1"/>
  <c r="H59" i="8"/>
  <c r="H81" i="8"/>
  <c r="H98" i="8"/>
  <c r="I66" i="8"/>
  <c r="I71" i="8" s="1"/>
  <c r="I73" i="8" s="1"/>
  <c r="I81" i="8"/>
  <c r="B34" i="8"/>
  <c r="B105" i="8"/>
  <c r="C66" i="8"/>
  <c r="C9" i="4" s="1"/>
  <c r="G10" i="4" s="1"/>
  <c r="I89" i="13" l="1"/>
  <c r="I63" i="13"/>
  <c r="I65" i="13" s="1"/>
  <c r="K88" i="5"/>
  <c r="L79" i="5" s="1"/>
  <c r="L93" i="5"/>
  <c r="L88" i="5" s="1"/>
  <c r="H110" i="13"/>
  <c r="H114" i="6" s="1"/>
  <c r="I84" i="5"/>
  <c r="H77" i="5"/>
  <c r="I59" i="8"/>
  <c r="I98" i="8"/>
  <c r="J66" i="8"/>
  <c r="J71" i="8" s="1"/>
  <c r="J73" i="8" s="1"/>
  <c r="B41" i="8"/>
  <c r="C71" i="8"/>
  <c r="C73" i="8" s="1"/>
  <c r="I86" i="5" l="1"/>
  <c r="I87" i="5" s="1"/>
  <c r="I76" i="5"/>
  <c r="J81" i="8"/>
  <c r="J59" i="8"/>
  <c r="J98" i="8"/>
  <c r="L66" i="8"/>
  <c r="L71" i="8" s="1"/>
  <c r="L73" i="8" s="1"/>
  <c r="K66" i="8"/>
  <c r="K71" i="8" s="1"/>
  <c r="K73" i="8" s="1"/>
  <c r="I19" i="5" l="1"/>
  <c r="I75" i="5"/>
  <c r="K59" i="8"/>
  <c r="K81" i="8"/>
  <c r="K98" i="8"/>
  <c r="C140" i="8"/>
  <c r="J84" i="5" l="1"/>
  <c r="I77" i="5"/>
  <c r="I110" i="13"/>
  <c r="I114" i="6" s="1"/>
  <c r="I11" i="5"/>
  <c r="J24" i="5" s="1"/>
  <c r="I45" i="5"/>
  <c r="I44" i="5" s="1"/>
  <c r="L59" i="8"/>
  <c r="L98" i="8"/>
  <c r="L81" i="8"/>
  <c r="J89" i="13" l="1"/>
  <c r="J63" i="13"/>
  <c r="J65" i="13" s="1"/>
  <c r="J86" i="5"/>
  <c r="J87" i="5" s="1"/>
  <c r="J76" i="5"/>
  <c r="J19" i="5" l="1"/>
  <c r="J75" i="5"/>
  <c r="I63" i="10"/>
  <c r="K84" i="5" l="1"/>
  <c r="J77" i="5"/>
  <c r="J110" i="13"/>
  <c r="J114" i="6" s="1"/>
  <c r="J11" i="5"/>
  <c r="K24" i="5" s="1"/>
  <c r="I65" i="10"/>
  <c r="I67" i="13"/>
  <c r="K63" i="13" l="1"/>
  <c r="K65" i="13" s="1"/>
  <c r="K89" i="13"/>
  <c r="K86" i="5"/>
  <c r="K87" i="5" s="1"/>
  <c r="K76" i="5"/>
  <c r="I67" i="10"/>
  <c r="I38" i="8"/>
  <c r="I102" i="8"/>
  <c r="I105" i="8" s="1"/>
  <c r="J45" i="5"/>
  <c r="J44" i="5" s="1"/>
  <c r="K19" i="5" l="1"/>
  <c r="K75" i="5"/>
  <c r="I115" i="6"/>
  <c r="L84" i="5" l="1"/>
  <c r="L76" i="5" s="1"/>
  <c r="K77" i="5"/>
  <c r="K110" i="13"/>
  <c r="K114" i="6" s="1"/>
  <c r="K11" i="5"/>
  <c r="L24" i="5" s="1"/>
  <c r="J63" i="9"/>
  <c r="J63" i="10"/>
  <c r="C21" i="6"/>
  <c r="C31" i="6" s="1"/>
  <c r="L89" i="13" l="1"/>
  <c r="L63" i="13"/>
  <c r="L65" i="13" s="1"/>
  <c r="L86" i="5"/>
  <c r="L87" i="5" s="1"/>
  <c r="D6" i="6"/>
  <c r="D7" i="6" s="1"/>
  <c r="D24" i="6" s="1"/>
  <c r="D25" i="6" s="1"/>
  <c r="D15" i="6" s="1"/>
  <c r="D14" i="6"/>
  <c r="D9" i="6"/>
  <c r="L19" i="5" l="1"/>
  <c r="L75" i="5"/>
  <c r="L77" i="5" s="1"/>
  <c r="D21" i="6"/>
  <c r="D31" i="6" s="1"/>
  <c r="E6" i="6"/>
  <c r="E7" i="6" s="1"/>
  <c r="E24" i="6" s="1"/>
  <c r="E25" i="6" s="1"/>
  <c r="E15" i="6" s="1"/>
  <c r="J65" i="10"/>
  <c r="J65" i="9"/>
  <c r="J67" i="13"/>
  <c r="L110" i="13" l="1"/>
  <c r="L114" i="6" s="1"/>
  <c r="L11" i="5"/>
  <c r="E14" i="6"/>
  <c r="E9" i="6"/>
  <c r="E21" i="6"/>
  <c r="F14" i="6" s="1"/>
  <c r="J67" i="10"/>
  <c r="J67" i="9"/>
  <c r="J102" i="8"/>
  <c r="J38" i="8"/>
  <c r="K45" i="5"/>
  <c r="K44" i="5" s="1"/>
  <c r="F6" i="6" l="1"/>
  <c r="E31" i="6"/>
  <c r="J115" i="6"/>
  <c r="F7" i="6" l="1"/>
  <c r="F24" i="6" s="1"/>
  <c r="F25" i="6" s="1"/>
  <c r="F15" i="6" s="1"/>
  <c r="F21" i="6" s="1"/>
  <c r="G14" i="6" s="1"/>
  <c r="K63" i="9"/>
  <c r="K63" i="10"/>
  <c r="F9" i="6" l="1"/>
  <c r="G6" i="6" s="1"/>
  <c r="K65" i="10"/>
  <c r="K65" i="9"/>
  <c r="K67" i="13"/>
  <c r="F31" i="6" l="1"/>
  <c r="H71" i="9"/>
  <c r="H71" i="10"/>
  <c r="H39" i="8"/>
  <c r="H73" i="13"/>
  <c r="K67" i="10"/>
  <c r="K67" i="9"/>
  <c r="L45" i="5"/>
  <c r="L44" i="5" s="1"/>
  <c r="K38" i="8"/>
  <c r="K102" i="8"/>
  <c r="G7" i="6" l="1"/>
  <c r="G24" i="6" s="1"/>
  <c r="G9" i="6"/>
  <c r="H6" i="6" s="1"/>
  <c r="H117" i="6"/>
  <c r="H73" i="10"/>
  <c r="H73" i="9"/>
  <c r="K115" i="6"/>
  <c r="G25" i="6" l="1"/>
  <c r="G15" i="6" s="1"/>
  <c r="L63" i="9"/>
  <c r="L63" i="10"/>
  <c r="G31" i="6" l="1"/>
  <c r="H21" i="6"/>
  <c r="H7" i="6"/>
  <c r="H9" i="6"/>
  <c r="I29" i="6" l="1"/>
  <c r="I71" i="13" s="1"/>
  <c r="H32" i="13"/>
  <c r="I6" i="6"/>
  <c r="H27" i="9"/>
  <c r="I14" i="6"/>
  <c r="I21" i="6"/>
  <c r="I32" i="13" s="1"/>
  <c r="L65" i="10"/>
  <c r="L65" i="9"/>
  <c r="L67" i="13"/>
  <c r="J14" i="6" l="1"/>
  <c r="I7" i="6"/>
  <c r="I9" i="6"/>
  <c r="L67" i="9"/>
  <c r="L67" i="10"/>
  <c r="L102" i="8"/>
  <c r="L38" i="8"/>
  <c r="J6" i="6" l="1"/>
  <c r="I27" i="9"/>
  <c r="J29" i="6"/>
  <c r="L115" i="6"/>
  <c r="J105" i="8"/>
  <c r="K105" i="8"/>
  <c r="L105" i="8"/>
  <c r="J21" i="6" l="1"/>
  <c r="J32" i="13" s="1"/>
  <c r="J71" i="13"/>
  <c r="K14" i="6"/>
  <c r="J7" i="6"/>
  <c r="J9" i="6"/>
  <c r="B117" i="8"/>
  <c r="B119" i="8" s="1"/>
  <c r="B48" i="8"/>
  <c r="B79" i="13"/>
  <c r="B87" i="13" s="1"/>
  <c r="B107" i="13" s="1"/>
  <c r="K6" i="6" l="1"/>
  <c r="J27" i="9"/>
  <c r="K7" i="6"/>
  <c r="K29" i="6"/>
  <c r="B109" i="8"/>
  <c r="B112" i="8" s="1"/>
  <c r="B129" i="13"/>
  <c r="B134" i="13" s="1"/>
  <c r="B5" i="13" s="1"/>
  <c r="B79" i="10"/>
  <c r="C79" i="9"/>
  <c r="K21" i="6" l="1"/>
  <c r="K32" i="13" s="1"/>
  <c r="K71" i="13"/>
  <c r="L14" i="6"/>
  <c r="K9" i="6"/>
  <c r="C133" i="13"/>
  <c r="C134" i="13" s="1"/>
  <c r="C5" i="13" s="1"/>
  <c r="B10" i="13"/>
  <c r="B14" i="8"/>
  <c r="B17" i="8" s="1"/>
  <c r="L6" i="6" l="1"/>
  <c r="K27" i="9"/>
  <c r="L29" i="6"/>
  <c r="D133" i="13"/>
  <c r="D134" i="13" s="1"/>
  <c r="C5" i="9"/>
  <c r="B7" i="8"/>
  <c r="B10" i="8" s="1"/>
  <c r="C14" i="8"/>
  <c r="C17" i="8" s="1"/>
  <c r="C10" i="13"/>
  <c r="B17" i="13"/>
  <c r="L21" i="6" l="1"/>
  <c r="L32" i="13" s="1"/>
  <c r="L71" i="13"/>
  <c r="L7" i="6"/>
  <c r="L9" i="6"/>
  <c r="L27" i="9" s="1"/>
  <c r="D5" i="13"/>
  <c r="D5" i="9" s="1"/>
  <c r="E133" i="13"/>
  <c r="E134" i="13" s="1"/>
  <c r="F133" i="13" s="1"/>
  <c r="F134" i="13" s="1"/>
  <c r="C10" i="9"/>
  <c r="B34" i="10"/>
  <c r="B35" i="10"/>
  <c r="B12" i="10"/>
  <c r="B13" i="10"/>
  <c r="B36" i="10"/>
  <c r="B21" i="10"/>
  <c r="B9" i="10"/>
  <c r="B39" i="10"/>
  <c r="B22" i="10"/>
  <c r="B14" i="10"/>
  <c r="B40" i="10"/>
  <c r="B23" i="10"/>
  <c r="B27" i="10"/>
  <c r="B6" i="10"/>
  <c r="B15" i="10"/>
  <c r="B44" i="10"/>
  <c r="B28" i="10"/>
  <c r="B41" i="10"/>
  <c r="B24" i="10"/>
  <c r="B16" i="10"/>
  <c r="B25" i="10"/>
  <c r="B17" i="10"/>
  <c r="B7" i="10"/>
  <c r="B32" i="10"/>
  <c r="B33" i="10"/>
  <c r="B42" i="10"/>
  <c r="B5" i="10"/>
  <c r="B46" i="10"/>
  <c r="B43" i="10"/>
  <c r="B26" i="10"/>
  <c r="B30" i="10"/>
  <c r="B29" i="10"/>
  <c r="B8" i="10"/>
  <c r="B10" i="10"/>
  <c r="C7" i="8"/>
  <c r="C10" i="8" s="1"/>
  <c r="D14" i="8"/>
  <c r="D17" i="8" s="1"/>
  <c r="D10" i="13"/>
  <c r="B48" i="13"/>
  <c r="B49" i="13"/>
  <c r="B25" i="8"/>
  <c r="B27" i="8" s="1"/>
  <c r="C17" i="13"/>
  <c r="C10" i="10" s="1"/>
  <c r="E5" i="13" l="1"/>
  <c r="E5" i="9" s="1"/>
  <c r="F5" i="13"/>
  <c r="C5" i="10"/>
  <c r="C8" i="10"/>
  <c r="C12" i="10"/>
  <c r="C15" i="10"/>
  <c r="C33" i="10"/>
  <c r="C41" i="10"/>
  <c r="C44" i="10"/>
  <c r="C21" i="10"/>
  <c r="C27" i="10"/>
  <c r="C36" i="10"/>
  <c r="C24" i="10"/>
  <c r="C9" i="10"/>
  <c r="C16" i="10"/>
  <c r="C17" i="10"/>
  <c r="C17" i="9"/>
  <c r="C6" i="10"/>
  <c r="C13" i="10"/>
  <c r="C14" i="10"/>
  <c r="C40" i="10"/>
  <c r="C22" i="10"/>
  <c r="C30" i="10"/>
  <c r="C34" i="10"/>
  <c r="C39" i="10"/>
  <c r="C42" i="10"/>
  <c r="C46" i="10"/>
  <c r="C25" i="10"/>
  <c r="C28" i="10"/>
  <c r="C7" i="10"/>
  <c r="C29" i="10"/>
  <c r="C35" i="10"/>
  <c r="C26" i="10"/>
  <c r="C43" i="10"/>
  <c r="C32" i="10"/>
  <c r="C23" i="10"/>
  <c r="D10" i="9"/>
  <c r="G133" i="13"/>
  <c r="G134" i="13" s="1"/>
  <c r="D7" i="8"/>
  <c r="D10" i="8" s="1"/>
  <c r="C48" i="13"/>
  <c r="C25" i="8"/>
  <c r="C27" i="8" s="1"/>
  <c r="C49" i="13"/>
  <c r="C124" i="8"/>
  <c r="C126" i="8" s="1"/>
  <c r="D17" i="13"/>
  <c r="D10" i="10" s="1"/>
  <c r="C86" i="8"/>
  <c r="C88" i="8" s="1"/>
  <c r="C131" i="8"/>
  <c r="C133" i="8" s="1"/>
  <c r="E14" i="8" l="1"/>
  <c r="E17" i="8" s="1"/>
  <c r="E10" i="13"/>
  <c r="E10" i="9" s="1"/>
  <c r="F5" i="9"/>
  <c r="D17" i="9"/>
  <c r="D5" i="10"/>
  <c r="D8" i="10"/>
  <c r="D12" i="10"/>
  <c r="D15" i="10"/>
  <c r="D26" i="10"/>
  <c r="D29" i="10"/>
  <c r="D33" i="10"/>
  <c r="D36" i="10"/>
  <c r="D41" i="10"/>
  <c r="D44" i="10"/>
  <c r="D21" i="10"/>
  <c r="D24" i="10"/>
  <c r="D27" i="10"/>
  <c r="D35" i="10"/>
  <c r="D17" i="10"/>
  <c r="D6" i="10"/>
  <c r="D9" i="10"/>
  <c r="D13" i="10"/>
  <c r="D16" i="10"/>
  <c r="D14" i="10"/>
  <c r="D32" i="10"/>
  <c r="D23" i="10"/>
  <c r="D30" i="10"/>
  <c r="D34" i="10"/>
  <c r="D39" i="10"/>
  <c r="D42" i="10"/>
  <c r="D46" i="10"/>
  <c r="D22" i="10"/>
  <c r="D25" i="10"/>
  <c r="D28" i="10"/>
  <c r="D7" i="10"/>
  <c r="D40" i="10"/>
  <c r="D43" i="10"/>
  <c r="H133" i="13"/>
  <c r="G5" i="13"/>
  <c r="D131" i="8"/>
  <c r="D133" i="8" s="1"/>
  <c r="D86" i="8"/>
  <c r="D88" i="8" s="1"/>
  <c r="E7" i="8"/>
  <c r="E10" i="8" s="1"/>
  <c r="E17" i="13"/>
  <c r="E10" i="10" s="1"/>
  <c r="D25" i="8"/>
  <c r="D27" i="8" s="1"/>
  <c r="D48" i="13"/>
  <c r="D49" i="13"/>
  <c r="F10" i="13"/>
  <c r="F14" i="8"/>
  <c r="F17" i="8" s="1"/>
  <c r="D124" i="8"/>
  <c r="D126" i="8" s="1"/>
  <c r="E32" i="10" l="1"/>
  <c r="E35" i="10"/>
  <c r="E40" i="10"/>
  <c r="E43" i="10"/>
  <c r="E17" i="10"/>
  <c r="E23" i="10"/>
  <c r="E26" i="10"/>
  <c r="E29" i="10"/>
  <c r="E17" i="9"/>
  <c r="E5" i="10"/>
  <c r="E12" i="10"/>
  <c r="E8" i="10"/>
  <c r="E15" i="10"/>
  <c r="E41" i="10"/>
  <c r="E24" i="10"/>
  <c r="E42" i="10"/>
  <c r="E7" i="10"/>
  <c r="E33" i="10"/>
  <c r="E36" i="10"/>
  <c r="E44" i="10"/>
  <c r="E21" i="10"/>
  <c r="E27" i="10"/>
  <c r="E14" i="10"/>
  <c r="E9" i="10"/>
  <c r="E13" i="10"/>
  <c r="E22" i="10"/>
  <c r="E6" i="10"/>
  <c r="E16" i="10"/>
  <c r="E39" i="10"/>
  <c r="E28" i="10"/>
  <c r="E34" i="10"/>
  <c r="E25" i="10"/>
  <c r="E30" i="10"/>
  <c r="E46" i="10"/>
  <c r="F10" i="9"/>
  <c r="G5" i="9"/>
  <c r="E131" i="8"/>
  <c r="E133" i="8" s="1"/>
  <c r="F7" i="8"/>
  <c r="F10" i="8" s="1"/>
  <c r="F17" i="13"/>
  <c r="F10" i="10" s="1"/>
  <c r="E25" i="8"/>
  <c r="E27" i="8" s="1"/>
  <c r="E48" i="13"/>
  <c r="E49" i="13"/>
  <c r="G14" i="8"/>
  <c r="G17" i="8" s="1"/>
  <c r="G10" i="13"/>
  <c r="H119" i="6"/>
  <c r="E86" i="8"/>
  <c r="E88" i="8" s="1"/>
  <c r="E124" i="8"/>
  <c r="E126" i="8" s="1"/>
  <c r="F32" i="10" l="1"/>
  <c r="F35" i="10"/>
  <c r="F40" i="10"/>
  <c r="F43" i="10"/>
  <c r="F17" i="10"/>
  <c r="F23" i="10"/>
  <c r="F26" i="10"/>
  <c r="F29" i="10"/>
  <c r="F17" i="9"/>
  <c r="F5" i="10"/>
  <c r="F8" i="10"/>
  <c r="F12" i="10"/>
  <c r="F15" i="10"/>
  <c r="F33" i="10"/>
  <c r="F36" i="10"/>
  <c r="F41" i="10"/>
  <c r="F44" i="10"/>
  <c r="F21" i="10"/>
  <c r="F24" i="10"/>
  <c r="F27" i="10"/>
  <c r="F25" i="10"/>
  <c r="F14" i="10"/>
  <c r="F6" i="10"/>
  <c r="F9" i="10"/>
  <c r="F13" i="10"/>
  <c r="F16" i="10"/>
  <c r="F22" i="10"/>
  <c r="F7" i="10"/>
  <c r="F30" i="10"/>
  <c r="F34" i="10"/>
  <c r="F39" i="10"/>
  <c r="F42" i="10"/>
  <c r="F46" i="10"/>
  <c r="F28" i="10"/>
  <c r="G10" i="9"/>
  <c r="F131" i="8"/>
  <c r="F133" i="8" s="1"/>
  <c r="F86" i="8"/>
  <c r="F88" i="8" s="1"/>
  <c r="F124" i="8"/>
  <c r="F126" i="8" s="1"/>
  <c r="G7" i="8"/>
  <c r="G10" i="8" s="1"/>
  <c r="G17" i="13"/>
  <c r="F49" i="13"/>
  <c r="F48" i="13"/>
  <c r="F25" i="8"/>
  <c r="F27" i="8" s="1"/>
  <c r="G43" i="10" l="1"/>
  <c r="G29" i="10"/>
  <c r="G15" i="10"/>
  <c r="G16" i="10"/>
  <c r="G40" i="10"/>
  <c r="G34" i="10"/>
  <c r="G22" i="10"/>
  <c r="G7" i="10"/>
  <c r="G41" i="10"/>
  <c r="G27" i="10"/>
  <c r="G13" i="10"/>
  <c r="G12" i="10"/>
  <c r="G17" i="9"/>
  <c r="G32" i="10"/>
  <c r="G17" i="10"/>
  <c r="G26" i="10"/>
  <c r="G39" i="10"/>
  <c r="G25" i="10"/>
  <c r="G6" i="10"/>
  <c r="G44" i="10"/>
  <c r="G35" i="10"/>
  <c r="G23" i="10"/>
  <c r="G8" i="10"/>
  <c r="G42" i="10"/>
  <c r="G28" i="10"/>
  <c r="G14" i="10"/>
  <c r="G33" i="10"/>
  <c r="G21" i="10"/>
  <c r="G30" i="10"/>
  <c r="G46" i="10"/>
  <c r="G36" i="10"/>
  <c r="G24" i="10"/>
  <c r="G9" i="10"/>
  <c r="G5" i="10"/>
  <c r="G10" i="10"/>
  <c r="G86" i="8"/>
  <c r="G88" i="8" s="1"/>
  <c r="G124" i="8"/>
  <c r="G126" i="8" s="1"/>
  <c r="G131" i="8"/>
  <c r="G133" i="8" s="1"/>
  <c r="G25" i="8"/>
  <c r="G27" i="8" s="1"/>
  <c r="G48" i="13"/>
  <c r="G49" i="13"/>
  <c r="I95" i="6" l="1"/>
  <c r="J93" i="6" s="1"/>
  <c r="J95" i="6" l="1"/>
  <c r="K93" i="6" s="1"/>
  <c r="K95" i="6" l="1"/>
  <c r="L93" i="6" s="1"/>
  <c r="L95" i="6" l="1"/>
  <c r="H116" i="6" l="1"/>
  <c r="H88" i="6" l="1"/>
  <c r="H90" i="6" s="1"/>
  <c r="I87" i="6" l="1"/>
  <c r="H97" i="6"/>
  <c r="I103" i="6" s="1"/>
  <c r="I124" i="13" l="1"/>
  <c r="I70" i="10"/>
  <c r="I116" i="6"/>
  <c r="H127" i="13"/>
  <c r="I73" i="13" l="1"/>
  <c r="I39" i="8"/>
  <c r="I41" i="8" s="1"/>
  <c r="I71" i="9"/>
  <c r="I71" i="10"/>
  <c r="H32" i="9"/>
  <c r="H31" i="8"/>
  <c r="H45" i="8"/>
  <c r="I75" i="13" l="1"/>
  <c r="I21" i="3" s="1"/>
  <c r="I20" i="3" s="1"/>
  <c r="I77" i="13" s="1"/>
  <c r="I32" i="4" s="1"/>
  <c r="I26" i="13" s="1"/>
  <c r="I73" i="10"/>
  <c r="I73" i="9"/>
  <c r="I79" i="13" l="1"/>
  <c r="I117" i="8"/>
  <c r="I75" i="10"/>
  <c r="I46" i="8"/>
  <c r="I79" i="10" l="1"/>
  <c r="I87" i="13"/>
  <c r="I109" i="8"/>
  <c r="I112" i="8" s="1"/>
  <c r="I137" i="8"/>
  <c r="I77" i="10"/>
  <c r="I116" i="8"/>
  <c r="I119" i="8" s="1"/>
  <c r="I130" i="8" s="1"/>
  <c r="I30" i="13" l="1"/>
  <c r="I123" i="8"/>
  <c r="I8" i="8" l="1"/>
  <c r="I15" i="8"/>
  <c r="J87" i="6" l="1"/>
  <c r="I97" i="6"/>
  <c r="J103" i="6" s="1"/>
  <c r="J124" i="13" l="1"/>
  <c r="J116" i="6"/>
  <c r="I51" i="6"/>
  <c r="I50" i="6" s="1"/>
  <c r="I40" i="13" s="1"/>
  <c r="I127" i="13"/>
  <c r="I32" i="9" l="1"/>
  <c r="I31" i="8"/>
  <c r="I45" i="8"/>
  <c r="I48" i="8" s="1"/>
  <c r="J39" i="8"/>
  <c r="J41" i="8" s="1"/>
  <c r="J71" i="10"/>
  <c r="J71" i="9"/>
  <c r="K87" i="6" l="1"/>
  <c r="J97" i="6"/>
  <c r="K103" i="6" s="1"/>
  <c r="K124" i="13" l="1"/>
  <c r="J127" i="13"/>
  <c r="K116" i="6"/>
  <c r="J51" i="6"/>
  <c r="J50" i="6" s="1"/>
  <c r="J40" i="13" s="1"/>
  <c r="J45" i="8" l="1"/>
  <c r="J32" i="9"/>
  <c r="J31" i="8"/>
  <c r="K39" i="8"/>
  <c r="K41" i="8" s="1"/>
  <c r="K71" i="10"/>
  <c r="K71" i="9"/>
  <c r="L87" i="6" l="1"/>
  <c r="K97" i="6"/>
  <c r="L103" i="6" s="1"/>
  <c r="L124" i="13" l="1"/>
  <c r="L116" i="6"/>
  <c r="K51" i="6"/>
  <c r="K50" i="6" s="1"/>
  <c r="K40" i="13" s="1"/>
  <c r="K127" i="13"/>
  <c r="L39" i="8" l="1"/>
  <c r="L41" i="8" s="1"/>
  <c r="L71" i="10"/>
  <c r="L71" i="9"/>
  <c r="K45" i="8"/>
  <c r="K32" i="9"/>
  <c r="K31" i="8"/>
  <c r="L51" i="6" l="1"/>
  <c r="L50" i="6" s="1"/>
  <c r="L40" i="13" s="1"/>
  <c r="L31" i="8" l="1"/>
  <c r="L32" i="9"/>
  <c r="L45" i="8"/>
  <c r="L127" i="13"/>
  <c r="H40" i="9" l="1"/>
  <c r="K40" i="9" l="1"/>
  <c r="I40" i="9"/>
  <c r="J40" i="9"/>
  <c r="L40" i="9"/>
  <c r="H13" i="5"/>
  <c r="H26" i="5"/>
  <c r="I18" i="5" s="1"/>
  <c r="I26" i="5" s="1"/>
  <c r="J18" i="5" s="1"/>
  <c r="J26" i="5" s="1"/>
  <c r="K18" i="5" s="1"/>
  <c r="K26" i="5" s="1"/>
  <c r="L18" i="5" s="1"/>
  <c r="L26" i="5" s="1"/>
  <c r="H63" i="9"/>
  <c r="H45" i="5"/>
  <c r="H15" i="5" l="1"/>
  <c r="H12" i="13" s="1"/>
  <c r="I13" i="5"/>
  <c r="H65" i="13"/>
  <c r="I63" i="9"/>
  <c r="H63" i="10"/>
  <c r="H12" i="9" l="1"/>
  <c r="H134" i="5"/>
  <c r="H137" i="5" s="1"/>
  <c r="H131" i="5" s="1"/>
  <c r="H34" i="13" s="1"/>
  <c r="J13" i="5"/>
  <c r="I15" i="5"/>
  <c r="I12" i="13" s="1"/>
  <c r="H65" i="10"/>
  <c r="H65" i="9"/>
  <c r="H67" i="13"/>
  <c r="I65" i="9"/>
  <c r="H104" i="13"/>
  <c r="H34" i="9"/>
  <c r="I12" i="9" l="1"/>
  <c r="I134" i="5"/>
  <c r="I137" i="5" s="1"/>
  <c r="I131" i="5" s="1"/>
  <c r="I34" i="13" s="1"/>
  <c r="K13" i="5"/>
  <c r="J15" i="5"/>
  <c r="J12" i="13" s="1"/>
  <c r="H102" i="8"/>
  <c r="H105" i="8" s="1"/>
  <c r="H67" i="10"/>
  <c r="H75" i="13"/>
  <c r="H67" i="9"/>
  <c r="I67" i="9"/>
  <c r="H38" i="8"/>
  <c r="H41" i="8" s="1"/>
  <c r="J12" i="9" l="1"/>
  <c r="J134" i="5"/>
  <c r="J137" i="5" s="1"/>
  <c r="J131" i="5" s="1"/>
  <c r="J34" i="13" s="1"/>
  <c r="J104" i="13" s="1"/>
  <c r="K15" i="5"/>
  <c r="K12" i="13" s="1"/>
  <c r="L13" i="5"/>
  <c r="L15" i="5" s="1"/>
  <c r="L12" i="13" s="1"/>
  <c r="I34" i="9"/>
  <c r="I36" i="13"/>
  <c r="I104" i="13"/>
  <c r="H75" i="10"/>
  <c r="H21" i="3"/>
  <c r="H20" i="3" s="1"/>
  <c r="H77" i="13" s="1"/>
  <c r="H46" i="8"/>
  <c r="H48" i="8" s="1"/>
  <c r="I75" i="9"/>
  <c r="H117" i="8"/>
  <c r="H75" i="9"/>
  <c r="I24" i="8" l="1"/>
  <c r="L12" i="9"/>
  <c r="L134" i="5"/>
  <c r="L137" i="5" s="1"/>
  <c r="L131" i="5" s="1"/>
  <c r="L34" i="13" s="1"/>
  <c r="K12" i="9"/>
  <c r="K134" i="5"/>
  <c r="K137" i="5" s="1"/>
  <c r="K131" i="5" s="1"/>
  <c r="K34" i="13" s="1"/>
  <c r="J34" i="9"/>
  <c r="H77" i="9"/>
  <c r="H77" i="10"/>
  <c r="I77" i="9"/>
  <c r="H32" i="4"/>
  <c r="H26" i="13" s="1"/>
  <c r="H116" i="8"/>
  <c r="H119" i="8" s="1"/>
  <c r="H130" i="8" s="1"/>
  <c r="H79" i="13"/>
  <c r="H41" i="13" s="1"/>
  <c r="H44" i="13" l="1"/>
  <c r="I41" i="13"/>
  <c r="I102" i="13"/>
  <c r="I107" i="13" s="1"/>
  <c r="H102" i="13"/>
  <c r="H26" i="9"/>
  <c r="H30" i="13"/>
  <c r="I26" i="9"/>
  <c r="K34" i="9"/>
  <c r="L104" i="13"/>
  <c r="K104" i="13"/>
  <c r="L34" i="9"/>
  <c r="H79" i="9"/>
  <c r="H109" i="8"/>
  <c r="H112" i="8" s="1"/>
  <c r="H87" i="13"/>
  <c r="H123" i="8"/>
  <c r="H79" i="10"/>
  <c r="I79" i="9"/>
  <c r="H137" i="8"/>
  <c r="H107" i="13" l="1"/>
  <c r="H113" i="6" s="1"/>
  <c r="H118" i="6" s="1"/>
  <c r="H120" i="6" s="1"/>
  <c r="H15" i="8"/>
  <c r="H30" i="9"/>
  <c r="H8" i="8"/>
  <c r="I30" i="9"/>
  <c r="H36" i="13"/>
  <c r="H46" i="13" s="1"/>
  <c r="I113" i="6"/>
  <c r="I118" i="6" s="1"/>
  <c r="H41" i="9"/>
  <c r="H126" i="6" l="1"/>
  <c r="H132" i="6"/>
  <c r="H135" i="6" s="1"/>
  <c r="H24" i="8"/>
  <c r="H36" i="9"/>
  <c r="I36" i="9"/>
  <c r="I44" i="13"/>
  <c r="I138" i="8" s="1"/>
  <c r="I140" i="8" s="1"/>
  <c r="I41" i="9"/>
  <c r="H138" i="8"/>
  <c r="H140" i="8" s="1"/>
  <c r="H32" i="8"/>
  <c r="H34" i="8" s="1"/>
  <c r="H44" i="9"/>
  <c r="H113" i="13" l="1"/>
  <c r="H116" i="13" s="1"/>
  <c r="H129" i="13" s="1"/>
  <c r="H134" i="13" s="1"/>
  <c r="I133" i="13" s="1"/>
  <c r="H139" i="6"/>
  <c r="H129" i="6"/>
  <c r="H128" i="6"/>
  <c r="H5" i="13"/>
  <c r="H46" i="9"/>
  <c r="I44" i="9"/>
  <c r="I32" i="8"/>
  <c r="I34" i="8" s="1"/>
  <c r="I46" i="13"/>
  <c r="H141" i="6" l="1"/>
  <c r="H6" i="13"/>
  <c r="H14" i="8" s="1"/>
  <c r="H17" i="8" s="1"/>
  <c r="I119" i="6"/>
  <c r="I120" i="6" s="1"/>
  <c r="H5" i="9"/>
  <c r="I126" i="6"/>
  <c r="I132" i="6"/>
  <c r="I135" i="6" s="1"/>
  <c r="I113" i="13" s="1"/>
  <c r="I46" i="9"/>
  <c r="I138" i="6" l="1"/>
  <c r="I143" i="6"/>
  <c r="H10" i="13"/>
  <c r="I139" i="6"/>
  <c r="I116" i="13"/>
  <c r="I129" i="13" s="1"/>
  <c r="I134" i="13" s="1"/>
  <c r="I141" i="6"/>
  <c r="J143" i="6" s="1"/>
  <c r="J70" i="13" s="1"/>
  <c r="I6" i="13"/>
  <c r="J138" i="6"/>
  <c r="I129" i="6"/>
  <c r="I88" i="6" s="1"/>
  <c r="I90" i="6" s="1"/>
  <c r="I128" i="6"/>
  <c r="J70" i="9" l="1"/>
  <c r="J70" i="10"/>
  <c r="J73" i="13"/>
  <c r="H17" i="13"/>
  <c r="H7" i="8"/>
  <c r="H10" i="8" s="1"/>
  <c r="H10" i="9"/>
  <c r="I5" i="13"/>
  <c r="I14" i="8" s="1"/>
  <c r="I17" i="8" s="1"/>
  <c r="J133" i="13"/>
  <c r="J75" i="13" l="1"/>
  <c r="J73" i="9"/>
  <c r="J73" i="10"/>
  <c r="H10" i="10"/>
  <c r="H27" i="10"/>
  <c r="H22" i="10"/>
  <c r="H12" i="10"/>
  <c r="H6" i="10"/>
  <c r="H34" i="10"/>
  <c r="H16" i="10"/>
  <c r="H36" i="10"/>
  <c r="H43" i="10"/>
  <c r="H41" i="10"/>
  <c r="H21" i="10"/>
  <c r="H124" i="8"/>
  <c r="H126" i="8" s="1"/>
  <c r="H44" i="10"/>
  <c r="H13" i="10"/>
  <c r="H15" i="10"/>
  <c r="H29" i="10"/>
  <c r="H24" i="10"/>
  <c r="H46" i="10"/>
  <c r="H33" i="10"/>
  <c r="H49" i="13"/>
  <c r="H5" i="10"/>
  <c r="H40" i="10"/>
  <c r="H7" i="10"/>
  <c r="H25" i="10"/>
  <c r="H30" i="10"/>
  <c r="H86" i="8"/>
  <c r="H88" i="8" s="1"/>
  <c r="H9" i="10"/>
  <c r="H48" i="13"/>
  <c r="H8" i="10"/>
  <c r="H42" i="10"/>
  <c r="H17" i="10"/>
  <c r="H131" i="8"/>
  <c r="H133" i="8" s="1"/>
  <c r="H14" i="10"/>
  <c r="H17" i="9"/>
  <c r="H32" i="10"/>
  <c r="H26" i="10"/>
  <c r="H25" i="8"/>
  <c r="H27" i="8" s="1"/>
  <c r="H28" i="10"/>
  <c r="H23" i="10"/>
  <c r="H39" i="10"/>
  <c r="H35" i="10"/>
  <c r="I10" i="13"/>
  <c r="I17" i="13" s="1"/>
  <c r="J119" i="6"/>
  <c r="I5" i="9"/>
  <c r="I7" i="8"/>
  <c r="I10" i="8" s="1"/>
  <c r="I10" i="9" l="1"/>
  <c r="J21" i="3"/>
  <c r="J20" i="3" s="1"/>
  <c r="J77" i="13" s="1"/>
  <c r="J75" i="10"/>
  <c r="J75" i="9"/>
  <c r="J117" i="8"/>
  <c r="J46" i="8"/>
  <c r="J48" i="8" s="1"/>
  <c r="J79" i="13"/>
  <c r="I10" i="10"/>
  <c r="I23" i="10"/>
  <c r="I22" i="10"/>
  <c r="I15" i="10"/>
  <c r="I21" i="10"/>
  <c r="I49" i="13"/>
  <c r="I50" i="13" s="1"/>
  <c r="I34" i="10"/>
  <c r="I27" i="10"/>
  <c r="I36" i="10"/>
  <c r="I16" i="10"/>
  <c r="I32" i="10"/>
  <c r="I6" i="10"/>
  <c r="I35" i="10"/>
  <c r="I17" i="9"/>
  <c r="I13" i="10"/>
  <c r="I12" i="10"/>
  <c r="I29" i="10"/>
  <c r="I30" i="10"/>
  <c r="I42" i="10"/>
  <c r="I41" i="10"/>
  <c r="I44" i="10"/>
  <c r="I46" i="10"/>
  <c r="I48" i="13"/>
  <c r="I39" i="10"/>
  <c r="I5" i="10"/>
  <c r="I9" i="10"/>
  <c r="I40" i="10"/>
  <c r="I8" i="10"/>
  <c r="I43" i="10"/>
  <c r="I86" i="8"/>
  <c r="I88" i="8" s="1"/>
  <c r="I33" i="10"/>
  <c r="I14" i="10"/>
  <c r="I17" i="10"/>
  <c r="I25" i="8"/>
  <c r="I27" i="8" s="1"/>
  <c r="I25" i="10"/>
  <c r="I124" i="8"/>
  <c r="I126" i="8" s="1"/>
  <c r="I7" i="10"/>
  <c r="I24" i="10"/>
  <c r="I131" i="8"/>
  <c r="I133" i="8" s="1"/>
  <c r="I26" i="10"/>
  <c r="I28" i="10"/>
  <c r="J79" i="10" l="1"/>
  <c r="J79" i="9"/>
  <c r="J109" i="8"/>
  <c r="J112" i="8" s="1"/>
  <c r="J137" i="8"/>
  <c r="J87" i="13"/>
  <c r="J41" i="13"/>
  <c r="J32" i="4"/>
  <c r="J26" i="13" s="1"/>
  <c r="J77" i="10"/>
  <c r="J116" i="8"/>
  <c r="J119" i="8" s="1"/>
  <c r="J130" i="8" s="1"/>
  <c r="J77" i="9"/>
  <c r="J102" i="13" l="1"/>
  <c r="J26" i="9"/>
  <c r="J30" i="13"/>
  <c r="J44" i="13"/>
  <c r="J41" i="9"/>
  <c r="J123" i="8"/>
  <c r="J107" i="13"/>
  <c r="J113" i="6" s="1"/>
  <c r="J118" i="6" s="1"/>
  <c r="J120" i="6" s="1"/>
  <c r="J132" i="6" l="1"/>
  <c r="J135" i="6" s="1"/>
  <c r="J126" i="6"/>
  <c r="J138" i="8"/>
  <c r="J140" i="8" s="1"/>
  <c r="J32" i="8"/>
  <c r="J34" i="8" s="1"/>
  <c r="J44" i="9"/>
  <c r="J30" i="9"/>
  <c r="J8" i="8"/>
  <c r="J15" i="8"/>
  <c r="J36" i="13"/>
  <c r="J36" i="9" l="1"/>
  <c r="J24" i="8"/>
  <c r="J46" i="13"/>
  <c r="J46" i="9" s="1"/>
  <c r="J129" i="6"/>
  <c r="J88" i="6" s="1"/>
  <c r="J90" i="6" s="1"/>
  <c r="J128" i="6"/>
  <c r="J113" i="13"/>
  <c r="J116" i="13" s="1"/>
  <c r="J129" i="13" s="1"/>
  <c r="J134" i="13" s="1"/>
  <c r="J139" i="6"/>
  <c r="J141" i="6" l="1"/>
  <c r="J6" i="13"/>
  <c r="J5" i="13"/>
  <c r="K133" i="13"/>
  <c r="J14" i="8" l="1"/>
  <c r="J17" i="8" s="1"/>
  <c r="J10" i="13"/>
  <c r="K119" i="6"/>
  <c r="J5" i="9"/>
  <c r="K138" i="6"/>
  <c r="K143" i="6"/>
  <c r="K70" i="13" s="1"/>
  <c r="J10" i="10" l="1"/>
  <c r="J17" i="13"/>
  <c r="J10" i="9"/>
  <c r="J7" i="8"/>
  <c r="J10" i="8" s="1"/>
  <c r="K70" i="9"/>
  <c r="K70" i="10"/>
  <c r="K73" i="13"/>
  <c r="K73" i="9" l="1"/>
  <c r="K73" i="10"/>
  <c r="K75" i="13"/>
  <c r="J46" i="10"/>
  <c r="J13" i="10"/>
  <c r="J30" i="10"/>
  <c r="J36" i="10"/>
  <c r="J35" i="10"/>
  <c r="J43" i="10"/>
  <c r="J12" i="10"/>
  <c r="J21" i="10"/>
  <c r="J25" i="8"/>
  <c r="J27" i="8" s="1"/>
  <c r="J17" i="10"/>
  <c r="J24" i="10"/>
  <c r="J22" i="10"/>
  <c r="J42" i="10"/>
  <c r="J23" i="10"/>
  <c r="J32" i="10"/>
  <c r="J9" i="10"/>
  <c r="J33" i="10"/>
  <c r="J6" i="10"/>
  <c r="J41" i="10"/>
  <c r="J15" i="10"/>
  <c r="J8" i="10"/>
  <c r="J44" i="10"/>
  <c r="J26" i="10"/>
  <c r="J25" i="10"/>
  <c r="J131" i="8"/>
  <c r="J133" i="8" s="1"/>
  <c r="J16" i="10"/>
  <c r="J17" i="9"/>
  <c r="J28" i="10"/>
  <c r="J86" i="8"/>
  <c r="J88" i="8" s="1"/>
  <c r="J39" i="10"/>
  <c r="J48" i="13"/>
  <c r="J14" i="10"/>
  <c r="J124" i="8"/>
  <c r="J126" i="8" s="1"/>
  <c r="J7" i="10"/>
  <c r="J27" i="10"/>
  <c r="J29" i="10"/>
  <c r="J34" i="10"/>
  <c r="J49" i="13"/>
  <c r="J50" i="13" s="1"/>
  <c r="J5" i="10"/>
  <c r="J40" i="10"/>
  <c r="K21" i="3" l="1"/>
  <c r="K20" i="3" s="1"/>
  <c r="K77" i="13" s="1"/>
  <c r="K75" i="10"/>
  <c r="K117" i="8"/>
  <c r="K46" i="8"/>
  <c r="K48" i="8" s="1"/>
  <c r="K75" i="9"/>
  <c r="K32" i="4" l="1"/>
  <c r="K26" i="13" s="1"/>
  <c r="K116" i="8"/>
  <c r="K119" i="8" s="1"/>
  <c r="K130" i="8" s="1"/>
  <c r="K77" i="9"/>
  <c r="K77" i="10"/>
  <c r="K79" i="13"/>
  <c r="K26" i="9" l="1"/>
  <c r="K30" i="13"/>
  <c r="K102" i="13"/>
  <c r="K79" i="9"/>
  <c r="K137" i="8"/>
  <c r="K87" i="13"/>
  <c r="K107" i="13" s="1"/>
  <c r="K113" i="6" s="1"/>
  <c r="K118" i="6" s="1"/>
  <c r="K120" i="6" s="1"/>
  <c r="K109" i="8"/>
  <c r="K112" i="8" s="1"/>
  <c r="K79" i="10"/>
  <c r="K123" i="8"/>
  <c r="K41" i="13"/>
  <c r="K41" i="9" l="1"/>
  <c r="K44" i="13"/>
  <c r="K126" i="6"/>
  <c r="K132" i="6"/>
  <c r="K135" i="6" s="1"/>
  <c r="K30" i="9"/>
  <c r="K15" i="8"/>
  <c r="K8" i="8"/>
  <c r="K36" i="13"/>
  <c r="K113" i="13" l="1"/>
  <c r="K116" i="13" s="1"/>
  <c r="K129" i="13" s="1"/>
  <c r="K134" i="13" s="1"/>
  <c r="K139" i="6"/>
  <c r="K44" i="9"/>
  <c r="K32" i="8"/>
  <c r="K34" i="8" s="1"/>
  <c r="K138" i="8"/>
  <c r="K140" i="8" s="1"/>
  <c r="K36" i="9"/>
  <c r="K24" i="8"/>
  <c r="K46" i="13"/>
  <c r="K129" i="6"/>
  <c r="K88" i="6" s="1"/>
  <c r="K90" i="6" s="1"/>
  <c r="K128" i="6"/>
  <c r="K5" i="13" l="1"/>
  <c r="L133" i="13"/>
  <c r="K46" i="9"/>
  <c r="K6" i="13"/>
  <c r="K141" i="6"/>
  <c r="L143" i="6" l="1"/>
  <c r="L70" i="13" s="1"/>
  <c r="L138" i="6"/>
  <c r="K14" i="8"/>
  <c r="K17" i="8" s="1"/>
  <c r="L119" i="6"/>
  <c r="K5" i="9"/>
  <c r="K10" i="13"/>
  <c r="K17" i="13" l="1"/>
  <c r="K7" i="8"/>
  <c r="K10" i="8" s="1"/>
  <c r="K10" i="9"/>
  <c r="L70" i="9"/>
  <c r="L70" i="10"/>
  <c r="L73" i="13"/>
  <c r="K10" i="10" l="1"/>
  <c r="K7" i="10"/>
  <c r="K25" i="10"/>
  <c r="K12" i="10"/>
  <c r="K23" i="10"/>
  <c r="K29" i="10"/>
  <c r="K22" i="10"/>
  <c r="K13" i="10"/>
  <c r="K131" i="8"/>
  <c r="K133" i="8" s="1"/>
  <c r="K35" i="10"/>
  <c r="K17" i="9"/>
  <c r="K17" i="10"/>
  <c r="K49" i="13"/>
  <c r="K50" i="13" s="1"/>
  <c r="K124" i="8"/>
  <c r="K126" i="8" s="1"/>
  <c r="K16" i="10"/>
  <c r="K15" i="10"/>
  <c r="K32" i="10"/>
  <c r="K28" i="10"/>
  <c r="K33" i="10"/>
  <c r="K34" i="10"/>
  <c r="K39" i="10"/>
  <c r="K21" i="10"/>
  <c r="K14" i="10"/>
  <c r="K25" i="8"/>
  <c r="K27" i="8" s="1"/>
  <c r="K24" i="10"/>
  <c r="K86" i="8"/>
  <c r="K88" i="8" s="1"/>
  <c r="K27" i="10"/>
  <c r="K9" i="10"/>
  <c r="K43" i="10"/>
  <c r="K40" i="10"/>
  <c r="K8" i="10"/>
  <c r="K42" i="10"/>
  <c r="K26" i="10"/>
  <c r="K41" i="10"/>
  <c r="K30" i="10"/>
  <c r="K36" i="10"/>
  <c r="K44" i="10"/>
  <c r="K46" i="10"/>
  <c r="K48" i="13"/>
  <c r="K6" i="10"/>
  <c r="K5" i="10"/>
  <c r="L73" i="10"/>
  <c r="L73" i="9"/>
  <c r="L75" i="13"/>
  <c r="L21" i="3" l="1"/>
  <c r="L20" i="3" s="1"/>
  <c r="L77" i="13" s="1"/>
  <c r="L117" i="8"/>
  <c r="L79" i="13"/>
  <c r="L75" i="9"/>
  <c r="L46" i="8"/>
  <c r="L48" i="8" s="1"/>
  <c r="L75" i="10"/>
  <c r="L87" i="13" l="1"/>
  <c r="L109" i="8"/>
  <c r="L112" i="8" s="1"/>
  <c r="L79" i="9"/>
  <c r="L79" i="10"/>
  <c r="L137" i="8"/>
  <c r="L41" i="13"/>
  <c r="L32" i="4"/>
  <c r="L26" i="13" s="1"/>
  <c r="L116" i="8"/>
  <c r="L119" i="8" s="1"/>
  <c r="L130" i="8" s="1"/>
  <c r="L77" i="10"/>
  <c r="L77" i="9"/>
  <c r="L102" i="13" l="1"/>
  <c r="L107" i="13" s="1"/>
  <c r="L113" i="6" s="1"/>
  <c r="L118" i="6" s="1"/>
  <c r="L120" i="6" s="1"/>
  <c r="L30" i="13"/>
  <c r="L26" i="9"/>
  <c r="L44" i="13"/>
  <c r="L41" i="9"/>
  <c r="L123" i="8"/>
  <c r="L126" i="6" l="1"/>
  <c r="L132" i="6"/>
  <c r="L135" i="6" s="1"/>
  <c r="L138" i="8"/>
  <c r="L140" i="8" s="1"/>
  <c r="L44" i="9"/>
  <c r="L32" i="8"/>
  <c r="L34" i="8" s="1"/>
  <c r="L30" i="9"/>
  <c r="L15" i="8"/>
  <c r="L8" i="8"/>
  <c r="L36" i="13"/>
  <c r="L24" i="8" l="1"/>
  <c r="L36" i="9"/>
  <c r="L46" i="13"/>
  <c r="L113" i="13"/>
  <c r="L116" i="13" s="1"/>
  <c r="L129" i="13" s="1"/>
  <c r="L134" i="13" s="1"/>
  <c r="L5" i="13" s="1"/>
  <c r="L139" i="6"/>
  <c r="L128" i="6"/>
  <c r="L129" i="6"/>
  <c r="L88" i="6" s="1"/>
  <c r="L90" i="6" s="1"/>
  <c r="L97" i="6" s="1"/>
  <c r="L6" i="13" l="1"/>
  <c r="L141" i="6"/>
  <c r="L5" i="9"/>
  <c r="L10" i="13"/>
  <c r="L46" i="9"/>
  <c r="L10" i="9" l="1"/>
  <c r="L17" i="13"/>
  <c r="L10" i="10"/>
  <c r="L7" i="8"/>
  <c r="L10" i="8" s="1"/>
  <c r="L14" i="8"/>
  <c r="L17" i="8" s="1"/>
  <c r="L6" i="10"/>
  <c r="L33" i="10" l="1"/>
  <c r="L29" i="10"/>
  <c r="L9" i="10"/>
  <c r="L43" i="10"/>
  <c r="L28" i="10"/>
  <c r="L27" i="10"/>
  <c r="L8" i="10"/>
  <c r="L39" i="10"/>
  <c r="L40" i="10"/>
  <c r="L16" i="10"/>
  <c r="L17" i="9"/>
  <c r="L12" i="10"/>
  <c r="L24" i="10"/>
  <c r="L35" i="10"/>
  <c r="L22" i="10"/>
  <c r="L17" i="10"/>
  <c r="L25" i="10"/>
  <c r="L21" i="10"/>
  <c r="L32" i="10"/>
  <c r="L42" i="10"/>
  <c r="L25" i="8"/>
  <c r="L27" i="8" s="1"/>
  <c r="L34" i="10"/>
  <c r="L13" i="10"/>
  <c r="L14" i="10"/>
  <c r="L23" i="10"/>
  <c r="L49" i="13"/>
  <c r="L50" i="13" s="1"/>
  <c r="L7" i="10"/>
  <c r="L15" i="10"/>
  <c r="L131" i="8"/>
  <c r="L133" i="8" s="1"/>
  <c r="L86" i="8"/>
  <c r="L88" i="8" s="1"/>
  <c r="L124" i="8"/>
  <c r="L126" i="8" s="1"/>
  <c r="L26" i="10"/>
  <c r="L41" i="10"/>
  <c r="L44" i="10"/>
  <c r="L30" i="10"/>
  <c r="L36" i="10"/>
  <c r="L5" i="10"/>
  <c r="L46" i="10"/>
  <c r="L48" i="13"/>
</calcChain>
</file>

<file path=xl/sharedStrings.xml><?xml version="1.0" encoding="utf-8"?>
<sst xmlns="http://schemas.openxmlformats.org/spreadsheetml/2006/main" count="616" uniqueCount="385">
  <si>
    <t>The Home Depot, Inc.</t>
  </si>
  <si>
    <t>ACTUAL</t>
  </si>
  <si>
    <t>FORECAST</t>
  </si>
  <si>
    <t>Balance Sheet (in millions)</t>
  </si>
  <si>
    <t>ASSETS</t>
  </si>
  <si>
    <t>Cash and cash equivalents</t>
  </si>
  <si>
    <t>Short-term investments</t>
  </si>
  <si>
    <t>Receivables, net</t>
  </si>
  <si>
    <t>Merchandise inventories</t>
  </si>
  <si>
    <t>Other current assets</t>
  </si>
  <si>
    <t xml:space="preserve">       Total current assets</t>
  </si>
  <si>
    <t>Net property and equipment</t>
  </si>
  <si>
    <t>Operating lease right-of-use assets</t>
  </si>
  <si>
    <t>Goodwill</t>
  </si>
  <si>
    <t>Intangible assets</t>
  </si>
  <si>
    <t>Other assets</t>
  </si>
  <si>
    <t xml:space="preserve">       Total assets</t>
  </si>
  <si>
    <t>LIABILITIES</t>
  </si>
  <si>
    <t>Short-term debt</t>
  </si>
  <si>
    <t>Accounts payable</t>
  </si>
  <si>
    <t>Accrued salaries and related expenses</t>
  </si>
  <si>
    <t>Sales taxes payable</t>
  </si>
  <si>
    <t>Deferred revenue</t>
  </si>
  <si>
    <t>Income taxes payable</t>
  </si>
  <si>
    <t>Current installments of long-term debt</t>
  </si>
  <si>
    <t>Current operating lease liabilities</t>
  </si>
  <si>
    <t>Other accrued expenses</t>
  </si>
  <si>
    <t xml:space="preserve">       Total current liabilities</t>
  </si>
  <si>
    <t>Long-term debt</t>
  </si>
  <si>
    <t>Long-term operating lease liabilities</t>
  </si>
  <si>
    <t>Deferred income taxes</t>
  </si>
  <si>
    <t>Other long-term liabilities</t>
  </si>
  <si>
    <t xml:space="preserve">       Total liabilities</t>
  </si>
  <si>
    <t>SHAREHOLDERS' EQUITY</t>
  </si>
  <si>
    <t>Common stock</t>
  </si>
  <si>
    <t>Paid-in capital</t>
  </si>
  <si>
    <t>Retained earnings</t>
  </si>
  <si>
    <t>Accumulated other comp. income (loss)</t>
  </si>
  <si>
    <t>Treasury stock</t>
  </si>
  <si>
    <t xml:space="preserve">       Total shareholders equity</t>
  </si>
  <si>
    <t xml:space="preserve">       Total liabilities &amp; equity</t>
  </si>
  <si>
    <t>Statement of Earnings (in millions)</t>
  </si>
  <si>
    <t>Net sales</t>
  </si>
  <si>
    <t>Cost of sales</t>
  </si>
  <si>
    <t xml:space="preserve">      Gross profit</t>
  </si>
  <si>
    <t>Operating expenses:</t>
  </si>
  <si>
    <t xml:space="preserve">   Selling, general and administrative</t>
  </si>
  <si>
    <t xml:space="preserve">   Depreciation and amortization</t>
  </si>
  <si>
    <t xml:space="preserve">      Total operating expenses</t>
  </si>
  <si>
    <t>Operating income (loss)</t>
  </si>
  <si>
    <t>Interest and other (income) expense:</t>
  </si>
  <si>
    <t xml:space="preserve">   Interest and investment income</t>
  </si>
  <si>
    <t xml:space="preserve">   Interest expense</t>
  </si>
  <si>
    <t xml:space="preserve">      Interest and other,net</t>
  </si>
  <si>
    <t>Earnings before income taxes</t>
  </si>
  <si>
    <t>Provision for income taxes</t>
  </si>
  <si>
    <t>Net earnings</t>
  </si>
  <si>
    <t>Statement of Cash Flows (in millions)</t>
  </si>
  <si>
    <t>CASH FLOW FROM OPERATING ACTIVITIES</t>
  </si>
  <si>
    <t>Net income</t>
  </si>
  <si>
    <t>Adj. to reconcile net income to net cash provided by operating activities:</t>
  </si>
  <si>
    <t xml:space="preserve">   Amortization</t>
  </si>
  <si>
    <t xml:space="preserve">   Stock based compensation</t>
  </si>
  <si>
    <t xml:space="preserve">   Other </t>
  </si>
  <si>
    <t>Changes in operating assets and liabilities</t>
  </si>
  <si>
    <t xml:space="preserve">   Receivables, net</t>
  </si>
  <si>
    <t xml:space="preserve">   Merchandise inventories</t>
  </si>
  <si>
    <t xml:space="preserve">   Other current assets</t>
  </si>
  <si>
    <t xml:space="preserve">   Other long-term assets</t>
  </si>
  <si>
    <t xml:space="preserve">   Accounts payable</t>
  </si>
  <si>
    <t xml:space="preserve">   Accrued salaries</t>
  </si>
  <si>
    <t xml:space="preserve">   Sales taxes payable</t>
  </si>
  <si>
    <t xml:space="preserve">   Deferred revenue</t>
  </si>
  <si>
    <t xml:space="preserve">   Income taxes payable</t>
  </si>
  <si>
    <t xml:space="preserve">   Other accrued expenses</t>
  </si>
  <si>
    <t xml:space="preserve">   Deferred income taxes</t>
  </si>
  <si>
    <t xml:space="preserve">   Other long-term liabilities</t>
  </si>
  <si>
    <t>Net cash provided by operating activities</t>
  </si>
  <si>
    <t>CASH FLOW FROM INVESTING ACTIVITIES</t>
  </si>
  <si>
    <t xml:space="preserve">   Capital expenditures</t>
  </si>
  <si>
    <t xml:space="preserve">   Payments for businesses acquired, net</t>
  </si>
  <si>
    <t xml:space="preserve">   Proceeds from sales of property and equipment</t>
  </si>
  <si>
    <t xml:space="preserve">   Purchase of investments</t>
  </si>
  <si>
    <t xml:space="preserve">   Other</t>
  </si>
  <si>
    <t>Net cash used In investing activities</t>
  </si>
  <si>
    <t>CASH FLOW FROM FINANCING ACTIVITIES</t>
  </si>
  <si>
    <t xml:space="preserve">   Repayments (proceeds) of short-term debt, net</t>
  </si>
  <si>
    <t xml:space="preserve">   Proceeds from long-term debt, net</t>
  </si>
  <si>
    <t xml:space="preserve">   Repayments of long-term debt</t>
  </si>
  <si>
    <t xml:space="preserve">   Repurchases of common stock</t>
  </si>
  <si>
    <t xml:space="preserve">   Proceeds from sales of common stock</t>
  </si>
  <si>
    <t xml:space="preserve">   Cash dividends</t>
  </si>
  <si>
    <t>Net cash used In financing activities</t>
  </si>
  <si>
    <t>Change in cash and cash equivalents</t>
  </si>
  <si>
    <t>Effect of exchange rate changes on cash</t>
  </si>
  <si>
    <t>Cash and cash equivalents, beg. of year</t>
  </si>
  <si>
    <t>Cash and cash equivalents, end of year</t>
  </si>
  <si>
    <t xml:space="preserve">      (in millions)</t>
  </si>
  <si>
    <t>FINAL REVENUE FORECAST (average of 4 methods)</t>
  </si>
  <si>
    <t>FORECAST METHOD 1--BASED ON REVENUE GROWTH</t>
  </si>
  <si>
    <t>Net sales from income statement:</t>
  </si>
  <si>
    <t xml:space="preserve"> </t>
  </si>
  <si>
    <t>Sales Growth:</t>
  </si>
  <si>
    <t>FORECAST METHOD 2--BASED ON REVENUE GROWTH BY PRODUCT TYPE</t>
  </si>
  <si>
    <t>Sales by product type:</t>
  </si>
  <si>
    <t xml:space="preserve">   Building materials</t>
  </si>
  <si>
    <t xml:space="preserve">   Décor</t>
  </si>
  <si>
    <t xml:space="preserve">   Hardlines</t>
  </si>
  <si>
    <t>FORECAST METHOD 3--INCORPORATING STORE DATA AND GEOGRAPHIC SEGMENTS</t>
  </si>
  <si>
    <t>Sales by geographic segment:</t>
  </si>
  <si>
    <t xml:space="preserve">   US</t>
  </si>
  <si>
    <t xml:space="preserve">   Outside the US</t>
  </si>
  <si>
    <t xml:space="preserve">      Total</t>
  </si>
  <si>
    <t>Number of stores:</t>
  </si>
  <si>
    <t xml:space="preserve">   Canada</t>
  </si>
  <si>
    <t xml:space="preserve">   Mexico</t>
  </si>
  <si>
    <t xml:space="preserve">     Total outside US</t>
  </si>
  <si>
    <t xml:space="preserve">      Total stores</t>
  </si>
  <si>
    <t>Sales per store</t>
  </si>
  <si>
    <t>Growth:</t>
  </si>
  <si>
    <t xml:space="preserve">   Number of stores:</t>
  </si>
  <si>
    <t xml:space="preserve">      US</t>
  </si>
  <si>
    <t xml:space="preserve">      Outside the US</t>
  </si>
  <si>
    <t xml:space="preserve">  Sales per store</t>
  </si>
  <si>
    <t>FORECAST METHOD 4--INCORPORATING SQUARE FOOTAGE DATA</t>
  </si>
  <si>
    <t>Sales by product line:</t>
  </si>
  <si>
    <t>Square feet (millions):</t>
  </si>
  <si>
    <t xml:space="preserve">   Stores</t>
  </si>
  <si>
    <t xml:space="preserve">   Warehouses, distribution and offices</t>
  </si>
  <si>
    <t>Sales per square foot</t>
  </si>
  <si>
    <t xml:space="preserve">   Square footage</t>
  </si>
  <si>
    <t xml:space="preserve">   Sales per square foot</t>
  </si>
  <si>
    <t xml:space="preserve">      Building materials</t>
  </si>
  <si>
    <t xml:space="preserve">      Décor</t>
  </si>
  <si>
    <t xml:space="preserve">      Hardlines</t>
  </si>
  <si>
    <t xml:space="preserve">      Other</t>
  </si>
  <si>
    <t xml:space="preserve">         Total</t>
  </si>
  <si>
    <t>Revenue forecast:</t>
  </si>
  <si>
    <t>COGS from income statement:</t>
  </si>
  <si>
    <t>As a % of revenue</t>
  </si>
  <si>
    <t>SG&amp;A from income statement:</t>
  </si>
  <si>
    <t>Tax expense forecast</t>
  </si>
  <si>
    <t xml:space="preserve">   Tax Expense</t>
  </si>
  <si>
    <t xml:space="preserve">   Pretax income</t>
  </si>
  <si>
    <t xml:space="preserve">   Effective tax rate (ETR)</t>
  </si>
  <si>
    <t>Accounts receivable</t>
  </si>
  <si>
    <t xml:space="preserve">   Days sales in A/R</t>
  </si>
  <si>
    <t xml:space="preserve">       5 year average</t>
  </si>
  <si>
    <t xml:space="preserve">   Inventory turnover</t>
  </si>
  <si>
    <t xml:space="preserve">   Percentage of revenue</t>
  </si>
  <si>
    <t xml:space="preserve">   Days costs in A/P</t>
  </si>
  <si>
    <t xml:space="preserve">   Percentage of COGS and SG&amp;A</t>
  </si>
  <si>
    <t xml:space="preserve">        5 year average</t>
  </si>
  <si>
    <t xml:space="preserve">   Percentage of tax expense</t>
  </si>
  <si>
    <t>Property, plant and equipment (PP&amp;E), net</t>
  </si>
  <si>
    <t>Land</t>
  </si>
  <si>
    <t>Buildings</t>
  </si>
  <si>
    <t>Furniture, fixtures, and equipment</t>
  </si>
  <si>
    <t>Leasehold improvements</t>
  </si>
  <si>
    <t>Construction in progress</t>
  </si>
  <si>
    <t>Finance leases</t>
  </si>
  <si>
    <t xml:space="preserve">   Gross PP&amp;E</t>
  </si>
  <si>
    <t>Accumulated depreciation</t>
  </si>
  <si>
    <t>Net PP&amp;E</t>
  </si>
  <si>
    <t>Beginning Balance</t>
  </si>
  <si>
    <t xml:space="preserve">   Additions--capital expenditures</t>
  </si>
  <si>
    <t xml:space="preserve">   Additions--mergers &amp; acquisitions</t>
  </si>
  <si>
    <t xml:space="preserve">   Additions--new finance leases</t>
  </si>
  <si>
    <t xml:space="preserve">   Impairments</t>
  </si>
  <si>
    <t xml:space="preserve">   Disposals</t>
  </si>
  <si>
    <t xml:space="preserve">   Depreciation</t>
  </si>
  <si>
    <t xml:space="preserve">   Unknown</t>
  </si>
  <si>
    <t>Ending Balance</t>
  </si>
  <si>
    <t>SALE/DISPOSAL OF PP&amp;E</t>
  </si>
  <si>
    <t xml:space="preserve">   Cash received</t>
  </si>
  <si>
    <t xml:space="preserve">   Net PP&amp;E</t>
  </si>
  <si>
    <t xml:space="preserve">   Gain (loss)</t>
  </si>
  <si>
    <t>Average Cash</t>
  </si>
  <si>
    <t>Average Gain</t>
  </si>
  <si>
    <t>FORECAST DEPRECIATION EXPENSE</t>
  </si>
  <si>
    <t xml:space="preserve">   Average Useful Life</t>
  </si>
  <si>
    <t xml:space="preserve">      5 year average</t>
  </si>
  <si>
    <t>Depreciation on income statement</t>
  </si>
  <si>
    <t>Total depreciation expense</t>
  </si>
  <si>
    <t>Ratio</t>
  </si>
  <si>
    <t>FORECAST CAPITAL EXPENDITURES METHOD 1--LINK TO COMPANY OWNED STORES</t>
  </si>
  <si>
    <t>Capital expenditures</t>
  </si>
  <si>
    <t>Number of company operated stores:</t>
  </si>
  <si>
    <t>Capital expenditures per company store</t>
  </si>
  <si>
    <t xml:space="preserve">     Average</t>
  </si>
  <si>
    <t xml:space="preserve">     % change</t>
  </si>
  <si>
    <t>FORECAST CAPITAL EXPENDITURES METHOD 2--AS A % REVENUE</t>
  </si>
  <si>
    <t>Revenue</t>
  </si>
  <si>
    <t>Capital expenditures divided by revenue</t>
  </si>
  <si>
    <t>FORECAST CAPITAL EXPENDITURES METHOD 3--FORECAST THE NET PP&amp;E REQUIRED FOR EACH STORE</t>
  </si>
  <si>
    <t>Gross PP&amp;E</t>
  </si>
  <si>
    <t xml:space="preserve">   PP&amp;E acquired through acquisitions</t>
  </si>
  <si>
    <t xml:space="preserve">   New finance leases</t>
  </si>
  <si>
    <t>PP&amp;E before capital expenditures</t>
  </si>
  <si>
    <t xml:space="preserve">   Capital Expenditures</t>
  </si>
  <si>
    <t>Company owned stores</t>
  </si>
  <si>
    <t>Net PP&amp;E per store</t>
  </si>
  <si>
    <t xml:space="preserve">   % growth</t>
  </si>
  <si>
    <t>Intangible Assets</t>
  </si>
  <si>
    <t xml:space="preserve">   Beginning balance</t>
  </si>
  <si>
    <t xml:space="preserve">   Additions</t>
  </si>
  <si>
    <t xml:space="preserve">   Divestitures</t>
  </si>
  <si>
    <t xml:space="preserve">   Amortization--definite lived only</t>
  </si>
  <si>
    <t xml:space="preserve">   Impairment and other</t>
  </si>
  <si>
    <t xml:space="preserve">   Ending balance</t>
  </si>
  <si>
    <t xml:space="preserve">   Acquisitions</t>
  </si>
  <si>
    <t xml:space="preserve">   Dispositions</t>
  </si>
  <si>
    <t>Disclosed Amortization Expense</t>
  </si>
  <si>
    <t>Other Assets</t>
  </si>
  <si>
    <t xml:space="preserve">   Percentage of Revenue</t>
  </si>
  <si>
    <t xml:space="preserve">     5 year average</t>
  </si>
  <si>
    <t>Other long-term obligations</t>
  </si>
  <si>
    <t>Deferred tax liability</t>
  </si>
  <si>
    <t>Underlying Assets/Liabilities</t>
  </si>
  <si>
    <t xml:space="preserve">   PP&amp;E</t>
  </si>
  <si>
    <t xml:space="preserve">   Goodwill</t>
  </si>
  <si>
    <t xml:space="preserve">   Intangible Assets</t>
  </si>
  <si>
    <t xml:space="preserve">   Percentage of underlying</t>
  </si>
  <si>
    <t>Current maturities long-term debt--actual</t>
  </si>
  <si>
    <t xml:space="preserve">  Beginning Balance</t>
  </si>
  <si>
    <t xml:space="preserve">  Payments</t>
  </si>
  <si>
    <t xml:space="preserve">  Transfer from Long-term</t>
  </si>
  <si>
    <t xml:space="preserve">  Ending Balance</t>
  </si>
  <si>
    <t>Long-term debt--balance sheet--actual</t>
  </si>
  <si>
    <t xml:space="preserve">  Transfer to short-term</t>
  </si>
  <si>
    <t xml:space="preserve">  Additions--new debt</t>
  </si>
  <si>
    <t xml:space="preserve">  Debt incurred in acquisitions</t>
  </si>
  <si>
    <t xml:space="preserve">  New finance leases</t>
  </si>
  <si>
    <t xml:space="preserve">  Unknown</t>
  </si>
  <si>
    <t>Minimum Debt Payments</t>
  </si>
  <si>
    <t>Additional Payments--if have extra cash</t>
  </si>
  <si>
    <t>Total Debt Payments</t>
  </si>
  <si>
    <t>Interest Expense</t>
  </si>
  <si>
    <t>Interest Rate (interest expense/average debt)</t>
  </si>
  <si>
    <t>Owners Equity</t>
  </si>
  <si>
    <t>Additional paid in capital</t>
  </si>
  <si>
    <t xml:space="preserve">   Total common equity</t>
  </si>
  <si>
    <t xml:space="preserve">   Issue new stock</t>
  </si>
  <si>
    <t xml:space="preserve">   Share-based compensation--issue stock</t>
  </si>
  <si>
    <t xml:space="preserve">   Share-based compensation--expense</t>
  </si>
  <si>
    <t xml:space="preserve">Stock compensation </t>
  </si>
  <si>
    <t xml:space="preserve">   Compensation Expense as a % operating income</t>
  </si>
  <si>
    <t xml:space="preserve">        average</t>
  </si>
  <si>
    <t xml:space="preserve">  Stock issuance as a % compensation expense</t>
  </si>
  <si>
    <t xml:space="preserve">  Shares issued</t>
  </si>
  <si>
    <t xml:space="preserve">  Shares Available</t>
  </si>
  <si>
    <t xml:space="preserve">    Stock options outstanding</t>
  </si>
  <si>
    <t xml:space="preserve">    Nonvested restricted &amp; performance stock</t>
  </si>
  <si>
    <t xml:space="preserve">  Percentage of previous year available issued in current year</t>
  </si>
  <si>
    <t xml:space="preserve">      Average</t>
  </si>
  <si>
    <t>Treasury Stock</t>
  </si>
  <si>
    <t xml:space="preserve">   Share repurchases</t>
  </si>
  <si>
    <t>Shares Issued</t>
  </si>
  <si>
    <t xml:space="preserve">   New stock issuance</t>
  </si>
  <si>
    <t xml:space="preserve">   Issued to employees</t>
  </si>
  <si>
    <t>Treasury Shares</t>
  </si>
  <si>
    <t xml:space="preserve">   Repurchases</t>
  </si>
  <si>
    <t>Net shares outstanding</t>
  </si>
  <si>
    <t>Stock price</t>
  </si>
  <si>
    <t>Dividends Declared</t>
  </si>
  <si>
    <t xml:space="preserve">    Dividends paid</t>
  </si>
  <si>
    <t>Dividends per share</t>
  </si>
  <si>
    <t>Cash Requirements / Cash to Invest</t>
  </si>
  <si>
    <t>All changes to cash except for new debt, share repurchases and investments</t>
  </si>
  <si>
    <t xml:space="preserve">   Cash from Operations</t>
  </si>
  <si>
    <t xml:space="preserve">   Cash For PP&amp;E and Acquisitions</t>
  </si>
  <si>
    <t xml:space="preserve">   Cash from stock options &amp; other financing</t>
  </si>
  <si>
    <t xml:space="preserve">   Cash Paid for Dividends</t>
  </si>
  <si>
    <t xml:space="preserve">   Minimum Debt Payments</t>
  </si>
  <si>
    <t xml:space="preserve">       Net Cash Inflow / Outflow</t>
  </si>
  <si>
    <t xml:space="preserve">   Cash at Beginning of Year</t>
  </si>
  <si>
    <t xml:space="preserve">       Total Cash on Hand</t>
  </si>
  <si>
    <t>Minimum Cash Balance</t>
  </si>
  <si>
    <t xml:space="preserve">   average over past few years</t>
  </si>
  <si>
    <t>Financing Needed</t>
  </si>
  <si>
    <t xml:space="preserve">   Total needed</t>
  </si>
  <si>
    <t xml:space="preserve">  Desired Debt Ratio</t>
  </si>
  <si>
    <t xml:space="preserve">  Financed by Debt</t>
  </si>
  <si>
    <t xml:space="preserve">  Financed by Equity</t>
  </si>
  <si>
    <t>Excess Cash</t>
  </si>
  <si>
    <t xml:space="preserve">   Total excess</t>
  </si>
  <si>
    <t xml:space="preserve">   Repurchase Stock</t>
  </si>
  <si>
    <t xml:space="preserve">   Pay Down Debt</t>
  </si>
  <si>
    <t xml:space="preserve">   Purchase Investments</t>
  </si>
  <si>
    <t>Short-term Investments</t>
  </si>
  <si>
    <t xml:space="preserve">  Beginning</t>
  </si>
  <si>
    <t xml:space="preserve">  Additions</t>
  </si>
  <si>
    <t xml:space="preserve">  Sell-off</t>
  </si>
  <si>
    <t xml:space="preserve">  Ending</t>
  </si>
  <si>
    <t>Interest and investment income</t>
  </si>
  <si>
    <t>% Investments</t>
  </si>
  <si>
    <t>Earnings before Interest and Taxes</t>
  </si>
  <si>
    <t>Tax Rate</t>
  </si>
  <si>
    <t>Less Taxes</t>
  </si>
  <si>
    <t>Earnings After Tax</t>
  </si>
  <si>
    <t>Less Capital Expenditures (Net)</t>
  </si>
  <si>
    <t>Add Depreciation and amortization</t>
  </si>
  <si>
    <t>Add Other Non-cash Items</t>
  </si>
  <si>
    <t>Change in Working Capital Requirements</t>
  </si>
  <si>
    <t>Free Cash Flows</t>
  </si>
  <si>
    <t>LIQUIDITY RATIOS</t>
  </si>
  <si>
    <t>Current Ratio</t>
  </si>
  <si>
    <t xml:space="preserve">   Current Assets     </t>
  </si>
  <si>
    <t xml:space="preserve">   Current Liabilities</t>
  </si>
  <si>
    <t xml:space="preserve">          Current ratio</t>
  </si>
  <si>
    <t>Quick Ratio (acid test)</t>
  </si>
  <si>
    <t xml:space="preserve">   Cash + ST Investments + Acct. Rec.     </t>
  </si>
  <si>
    <t xml:space="preserve">                Total Current Liabilities</t>
  </si>
  <si>
    <t xml:space="preserve">          Quick ratio</t>
  </si>
  <si>
    <t>DEBT (LEVERAGE) RATIOS</t>
  </si>
  <si>
    <t>Total Liabilities to Total Assets</t>
  </si>
  <si>
    <r>
      <rPr>
        <sz val="11"/>
        <rFont val="Calibri"/>
        <family val="2"/>
        <scheme val="minor"/>
      </rPr>
      <t xml:space="preserve">   </t>
    </r>
    <r>
      <rPr>
        <u/>
        <sz val="11"/>
        <rFont val="Calibri"/>
        <family val="2"/>
        <scheme val="minor"/>
      </rPr>
      <t xml:space="preserve">    Total Liabilities     </t>
    </r>
  </si>
  <si>
    <t xml:space="preserve">         Total Assets</t>
  </si>
  <si>
    <t xml:space="preserve">          Total Liabilities to Total Assets</t>
  </si>
  <si>
    <t>Debt to Debt + Equity</t>
  </si>
  <si>
    <t xml:space="preserve">           Interest Bearing Debt                      </t>
  </si>
  <si>
    <t xml:space="preserve">   Int. Bearing Debt + Common Equity</t>
  </si>
  <si>
    <t xml:space="preserve">         Debt to Debt + Equity</t>
  </si>
  <si>
    <t>Times Interest Earned (interest coverage)</t>
  </si>
  <si>
    <t xml:space="preserve">    Operating Income   </t>
  </si>
  <si>
    <t xml:space="preserve">     Interest Expense</t>
  </si>
  <si>
    <t xml:space="preserve">         Times Interest Earned</t>
  </si>
  <si>
    <t>Debt to EBITDA</t>
  </si>
  <si>
    <t>Earnings before Int. Tax. Depr. &amp; Amort.</t>
  </si>
  <si>
    <t xml:space="preserve">          Debt to EBITDA</t>
  </si>
  <si>
    <t>ASSET MANAGEMENT RATIOS</t>
  </si>
  <si>
    <t>Days Sales in A/R</t>
  </si>
  <si>
    <t xml:space="preserve">    Average Accounts Receivable</t>
  </si>
  <si>
    <r>
      <rPr>
        <sz val="11"/>
        <rFont val="Calibri"/>
        <family val="2"/>
        <scheme val="minor"/>
      </rPr>
      <t xml:space="preserve">               </t>
    </r>
    <r>
      <rPr>
        <u/>
        <sz val="11"/>
        <rFont val="Calibri"/>
        <family val="2"/>
        <scheme val="minor"/>
      </rPr>
      <t xml:space="preserve">      Sales      </t>
    </r>
  </si>
  <si>
    <t xml:space="preserve">                  365 days</t>
  </si>
  <si>
    <t xml:space="preserve">          Days Sales in A/R</t>
  </si>
  <si>
    <t>Inventory Turnover</t>
  </si>
  <si>
    <t xml:space="preserve">   Cost of Goods Sold</t>
  </si>
  <si>
    <t xml:space="preserve">   Average Inventory</t>
  </si>
  <si>
    <t xml:space="preserve">          Inventory Turnover</t>
  </si>
  <si>
    <t>Age of Inventory</t>
  </si>
  <si>
    <t xml:space="preserve">           365                    </t>
  </si>
  <si>
    <t xml:space="preserve">    Inventory Turnover</t>
  </si>
  <si>
    <t xml:space="preserve">          Age of Inventory</t>
  </si>
  <si>
    <t>Days Payables Outstanding</t>
  </si>
  <si>
    <t xml:space="preserve">   Average Accounts Payable           </t>
  </si>
  <si>
    <r>
      <rPr>
        <sz val="11"/>
        <rFont val="Calibri"/>
        <family val="2"/>
        <scheme val="minor"/>
      </rPr>
      <t xml:space="preserve">              </t>
    </r>
    <r>
      <rPr>
        <u/>
        <sz val="11"/>
        <rFont val="Calibri"/>
        <family val="2"/>
        <scheme val="minor"/>
      </rPr>
      <t xml:space="preserve">  Expenses in A/P  </t>
    </r>
  </si>
  <si>
    <t xml:space="preserve">          Days Payables Outstanding</t>
  </si>
  <si>
    <t>Total Asset Turnover</t>
  </si>
  <si>
    <r>
      <rPr>
        <sz val="11"/>
        <rFont val="Calibri"/>
        <family val="2"/>
        <scheme val="minor"/>
      </rPr>
      <t xml:space="preserve"> </t>
    </r>
    <r>
      <rPr>
        <u/>
        <sz val="11"/>
        <rFont val="Calibri"/>
        <family val="2"/>
        <scheme val="minor"/>
      </rPr>
      <t xml:space="preserve">           Sales                </t>
    </r>
  </si>
  <si>
    <t xml:space="preserve">   Average Total Assets</t>
  </si>
  <si>
    <t xml:space="preserve">          Total Asset Turnover</t>
  </si>
  <si>
    <t>PROFITABILITY RATIOS</t>
  </si>
  <si>
    <t xml:space="preserve">   </t>
  </si>
  <si>
    <t xml:space="preserve">Gross Profit </t>
  </si>
  <si>
    <r>
      <rPr>
        <sz val="11"/>
        <rFont val="Calibri"/>
        <family val="2"/>
        <scheme val="minor"/>
      </rPr>
      <t xml:space="preserve">  </t>
    </r>
    <r>
      <rPr>
        <u/>
        <sz val="11"/>
        <rFont val="Calibri"/>
        <family val="2"/>
        <scheme val="minor"/>
      </rPr>
      <t xml:space="preserve">   Gross Profit   </t>
    </r>
  </si>
  <si>
    <t xml:space="preserve">         Sales</t>
  </si>
  <si>
    <t xml:space="preserve">          Gross Profit </t>
  </si>
  <si>
    <t>Operating Profit</t>
  </si>
  <si>
    <t xml:space="preserve">     Operating Income</t>
  </si>
  <si>
    <t xml:space="preserve">                 Sales</t>
  </si>
  <si>
    <t xml:space="preserve">          Operating Profit</t>
  </si>
  <si>
    <t>Return on Sales</t>
  </si>
  <si>
    <r>
      <rPr>
        <sz val="11"/>
        <rFont val="Calibri"/>
        <family val="2"/>
        <scheme val="minor"/>
      </rPr>
      <t xml:space="preserve">  </t>
    </r>
    <r>
      <rPr>
        <u/>
        <sz val="11"/>
        <rFont val="Calibri"/>
        <family val="2"/>
        <scheme val="minor"/>
      </rPr>
      <t xml:space="preserve">   Net Income    </t>
    </r>
  </si>
  <si>
    <t xml:space="preserve">          Return on Sales</t>
  </si>
  <si>
    <t>Effective Tax Rate</t>
  </si>
  <si>
    <r>
      <rPr>
        <sz val="11"/>
        <rFont val="Calibri"/>
        <family val="2"/>
        <scheme val="minor"/>
      </rPr>
      <t xml:space="preserve">  </t>
    </r>
    <r>
      <rPr>
        <u/>
        <sz val="11"/>
        <rFont val="Calibri"/>
        <family val="2"/>
        <scheme val="minor"/>
      </rPr>
      <t xml:space="preserve">     Tax Expense    </t>
    </r>
  </si>
  <si>
    <t xml:space="preserve">      Pre-tax Income</t>
  </si>
  <si>
    <t xml:space="preserve">          Effective Tax Rate</t>
  </si>
  <si>
    <t>Return on Assets (ROA)</t>
  </si>
  <si>
    <t xml:space="preserve">   Net Income + (Interest Expense * (1-ETR))   </t>
  </si>
  <si>
    <t xml:space="preserve">            Average Total Assets</t>
  </si>
  <si>
    <t xml:space="preserve">          Return on Assets</t>
  </si>
  <si>
    <t>Return on Invested Capital (ROIC)</t>
  </si>
  <si>
    <t xml:space="preserve">  NOPAT (Operating Profit*(1-ETR))</t>
  </si>
  <si>
    <t xml:space="preserve">          Return on Invested Capital</t>
  </si>
  <si>
    <t>Return on Common Equity (ROCE)</t>
  </si>
  <si>
    <t xml:space="preserve">            Net Income               </t>
  </si>
  <si>
    <t xml:space="preserve">   Average Common Equity</t>
  </si>
  <si>
    <t xml:space="preserve">          Return on Common Equity</t>
  </si>
  <si>
    <t>Year-over-Year Balance Sheet</t>
  </si>
  <si>
    <t>Year-over-Year Statement of Earnings</t>
  </si>
  <si>
    <t xml:space="preserve">   Tradename impairment loss</t>
  </si>
  <si>
    <t>Common Size Balance Sheet</t>
  </si>
  <si>
    <t>Common Size Statement of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</si>
</sst>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mmm\-yy;@"/>
    <numFmt numFmtId="165" formatCode="#,##0.000_);\(#,##0.000\)"/>
    <numFmt numFmtId="166" formatCode="0.0%"/>
    <numFmt numFmtId="167" formatCode="0_);\(0\)"/>
    <numFmt numFmtId="168" formatCode="_(* #,##0_);_(* \(#,##0\);_(* &quot;-&quot;??_);_(@_)"/>
    <numFmt numFmtId="169" formatCode="#,##0.0_);\(#,##0.0\)"/>
    <numFmt numFmtId="170" formatCode="#,##0.0000_);\(#,##0.0000\)"/>
    <numFmt numFmtId="171" formatCode="[$-409]d\-mmm\-yy;@"/>
    <numFmt numFmtId="172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ECE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7485"/>
        <bgColor indexed="64"/>
      </patternFill>
    </fill>
    <fill>
      <patternFill patternType="solid">
        <fgColor rgb="FFEBF5F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auto="1"/>
      </right>
      <top style="thin">
        <color indexed="64"/>
      </top>
      <bottom style="double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6">
    <xf numFmtId="0" fontId="0" fillId="0" borderId="0" xfId="0"/>
    <xf numFmtId="39" fontId="0" fillId="0" borderId="0" xfId="0" applyNumberFormat="1"/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/>
    </xf>
    <xf numFmtId="37" fontId="0" fillId="0" borderId="0" xfId="0" applyNumberFormat="1"/>
    <xf numFmtId="37" fontId="3" fillId="0" borderId="0" xfId="0" applyNumberFormat="1" applyFont="1" applyAlignment="1">
      <alignment horizontal="center" wrapText="1"/>
    </xf>
    <xf numFmtId="37" fontId="0" fillId="0" borderId="0" xfId="0" applyNumberFormat="1" applyAlignment="1">
      <alignment horizontal="right"/>
    </xf>
    <xf numFmtId="39" fontId="2" fillId="2" borderId="0" xfId="0" applyNumberFormat="1" applyFont="1" applyFill="1" applyAlignment="1">
      <alignment horizontal="center"/>
    </xf>
    <xf numFmtId="39" fontId="0" fillId="0" borderId="0" xfId="0" applyNumberFormat="1" applyAlignment="1">
      <alignment horizontal="right"/>
    </xf>
    <xf numFmtId="39" fontId="0" fillId="0" borderId="0" xfId="0" applyNumberFormat="1" applyAlignment="1">
      <alignment horizontal="center"/>
    </xf>
    <xf numFmtId="37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6" fillId="0" borderId="0" xfId="0" applyFont="1"/>
    <xf numFmtId="37" fontId="0" fillId="0" borderId="1" xfId="0" applyNumberFormat="1" applyBorder="1" applyAlignment="1">
      <alignment horizontal="center"/>
    </xf>
    <xf numFmtId="37" fontId="0" fillId="0" borderId="0" xfId="0" applyNumberFormat="1" applyAlignment="1">
      <alignment horizontal="center"/>
    </xf>
    <xf numFmtId="0" fontId="7" fillId="0" borderId="0" xfId="0" applyFont="1"/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37" fontId="4" fillId="0" borderId="0" xfId="0" applyNumberFormat="1" applyFont="1" applyAlignment="1">
      <alignment horizontal="center"/>
    </xf>
    <xf numFmtId="0" fontId="5" fillId="0" borderId="0" xfId="0" applyFont="1"/>
    <xf numFmtId="39" fontId="2" fillId="0" borderId="0" xfId="0" applyNumberFormat="1" applyFont="1" applyAlignment="1">
      <alignment horizontal="center"/>
    </xf>
    <xf numFmtId="37" fontId="0" fillId="0" borderId="1" xfId="0" applyNumberFormat="1" applyBorder="1"/>
    <xf numFmtId="37" fontId="3" fillId="0" borderId="0" xfId="0" applyNumberFormat="1" applyFont="1"/>
    <xf numFmtId="10" fontId="0" fillId="0" borderId="0" xfId="1" applyNumberFormat="1" applyFont="1" applyFill="1" applyBorder="1" applyAlignment="1"/>
    <xf numFmtId="0" fontId="0" fillId="0" borderId="9" xfId="0" applyBorder="1"/>
    <xf numFmtId="0" fontId="0" fillId="0" borderId="11" xfId="0" applyBorder="1"/>
    <xf numFmtId="0" fontId="9" fillId="0" borderId="0" xfId="0" applyFont="1"/>
    <xf numFmtId="0" fontId="0" fillId="0" borderId="6" xfId="0" applyBorder="1"/>
    <xf numFmtId="37" fontId="0" fillId="0" borderId="7" xfId="0" applyNumberFormat="1" applyBorder="1"/>
    <xf numFmtId="37" fontId="0" fillId="0" borderId="4" xfId="0" applyNumberFormat="1" applyBorder="1"/>
    <xf numFmtId="37" fontId="0" fillId="0" borderId="12" xfId="0" applyNumberFormat="1" applyBorder="1"/>
    <xf numFmtId="39" fontId="0" fillId="0" borderId="4" xfId="0" applyNumberFormat="1" applyBorder="1"/>
    <xf numFmtId="10" fontId="0" fillId="0" borderId="4" xfId="1" applyNumberFormat="1" applyFont="1" applyFill="1" applyBorder="1"/>
    <xf numFmtId="39" fontId="0" fillId="0" borderId="12" xfId="0" applyNumberFormat="1" applyBorder="1"/>
    <xf numFmtId="37" fontId="0" fillId="0" borderId="8" xfId="0" applyNumberFormat="1" applyBorder="1"/>
    <xf numFmtId="10" fontId="0" fillId="0" borderId="0" xfId="1" applyNumberFormat="1" applyFont="1" applyFill="1"/>
    <xf numFmtId="0" fontId="0" fillId="0" borderId="0" xfId="0" applyAlignment="1">
      <alignment wrapText="1"/>
    </xf>
    <xf numFmtId="10" fontId="0" fillId="0" borderId="0" xfId="1" applyNumberFormat="1" applyFont="1" applyFill="1" applyBorder="1"/>
    <xf numFmtId="39" fontId="0" fillId="0" borderId="15" xfId="0" applyNumberFormat="1" applyBorder="1"/>
    <xf numFmtId="37" fontId="0" fillId="0" borderId="10" xfId="0" applyNumberFormat="1" applyBorder="1"/>
    <xf numFmtId="10" fontId="0" fillId="0" borderId="10" xfId="1" applyNumberFormat="1" applyFont="1" applyFill="1" applyBorder="1"/>
    <xf numFmtId="10" fontId="0" fillId="0" borderId="12" xfId="1" applyNumberFormat="1" applyFont="1" applyFill="1" applyBorder="1"/>
    <xf numFmtId="37" fontId="0" fillId="0" borderId="0" xfId="2" applyNumberFormat="1" applyFont="1" applyFill="1" applyBorder="1"/>
    <xf numFmtId="0" fontId="0" fillId="0" borderId="9" xfId="0" applyBorder="1" applyAlignment="1">
      <alignment horizontal="left"/>
    </xf>
    <xf numFmtId="37" fontId="0" fillId="0" borderId="10" xfId="2" applyNumberFormat="1" applyFont="1" applyFill="1" applyBorder="1"/>
    <xf numFmtId="0" fontId="0" fillId="0" borderId="11" xfId="0" applyBorder="1" applyAlignment="1">
      <alignment horizontal="left"/>
    </xf>
    <xf numFmtId="43" fontId="0" fillId="0" borderId="0" xfId="2" applyFont="1"/>
    <xf numFmtId="43" fontId="0" fillId="0" borderId="0" xfId="2" applyFont="1" applyFill="1" applyBorder="1"/>
    <xf numFmtId="43" fontId="0" fillId="0" borderId="0" xfId="0" applyNumberFormat="1"/>
    <xf numFmtId="166" fontId="0" fillId="0" borderId="0" xfId="1" applyNumberFormat="1" applyFont="1"/>
    <xf numFmtId="37" fontId="0" fillId="0" borderId="0" xfId="1" applyNumberFormat="1" applyFont="1" applyFill="1"/>
    <xf numFmtId="0" fontId="9" fillId="0" borderId="6" xfId="0" applyFont="1" applyBorder="1"/>
    <xf numFmtId="0" fontId="4" fillId="0" borderId="6" xfId="0" applyFont="1" applyBorder="1"/>
    <xf numFmtId="164" fontId="0" fillId="0" borderId="0" xfId="0" applyNumberFormat="1"/>
    <xf numFmtId="37" fontId="0" fillId="0" borderId="1" xfId="0" applyNumberFormat="1" applyBorder="1" applyAlignment="1">
      <alignment horizontal="right"/>
    </xf>
    <xf numFmtId="170" fontId="0" fillId="0" borderId="0" xfId="0" applyNumberFormat="1" applyAlignment="1">
      <alignment horizontal="right"/>
    </xf>
    <xf numFmtId="168" fontId="0" fillId="0" borderId="0" xfId="2" applyNumberFormat="1" applyFont="1"/>
    <xf numFmtId="10" fontId="0" fillId="0" borderId="0" xfId="0" applyNumberFormat="1" applyAlignment="1">
      <alignment horizontal="right"/>
    </xf>
    <xf numFmtId="10" fontId="0" fillId="0" borderId="0" xfId="1" applyNumberFormat="1" applyFont="1" applyFill="1" applyBorder="1" applyAlignment="1">
      <alignment horizontal="right"/>
    </xf>
    <xf numFmtId="37" fontId="0" fillId="0" borderId="0" xfId="1" applyNumberFormat="1" applyFont="1" applyFill="1" applyAlignment="1">
      <alignment horizontal="center"/>
    </xf>
    <xf numFmtId="166" fontId="0" fillId="0" borderId="0" xfId="1" applyNumberFormat="1" applyFont="1" applyFill="1" applyBorder="1"/>
    <xf numFmtId="0" fontId="4" fillId="0" borderId="16" xfId="0" applyFont="1" applyBorder="1"/>
    <xf numFmtId="0" fontId="0" fillId="0" borderId="14" xfId="0" applyBorder="1"/>
    <xf numFmtId="37" fontId="0" fillId="0" borderId="15" xfId="0" applyNumberFormat="1" applyBorder="1"/>
    <xf numFmtId="0" fontId="0" fillId="0" borderId="16" xfId="0" applyBorder="1"/>
    <xf numFmtId="0" fontId="3" fillId="0" borderId="6" xfId="0" applyFont="1" applyBorder="1"/>
    <xf numFmtId="39" fontId="0" fillId="0" borderId="4" xfId="0" applyNumberFormat="1" applyBorder="1" applyAlignment="1">
      <alignment horizontal="right"/>
    </xf>
    <xf numFmtId="16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7" fontId="0" fillId="0" borderId="1" xfId="1" applyNumberFormat="1" applyFont="1" applyFill="1" applyBorder="1" applyAlignment="1">
      <alignment horizontal="center"/>
    </xf>
    <xf numFmtId="10" fontId="0" fillId="0" borderId="0" xfId="1" applyNumberFormat="1" applyFont="1" applyFill="1" applyBorder="1" applyAlignment="1">
      <alignment horizontal="center"/>
    </xf>
    <xf numFmtId="10" fontId="0" fillId="0" borderId="0" xfId="0" applyNumberFormat="1"/>
    <xf numFmtId="39" fontId="0" fillId="0" borderId="0" xfId="1" applyNumberFormat="1" applyFont="1" applyFill="1" applyBorder="1"/>
    <xf numFmtId="0" fontId="11" fillId="0" borderId="0" xfId="0" applyFont="1"/>
    <xf numFmtId="164" fontId="3" fillId="0" borderId="7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9" xfId="0" applyFont="1" applyBorder="1"/>
    <xf numFmtId="0" fontId="9" fillId="0" borderId="9" xfId="0" applyFont="1" applyBorder="1"/>
    <xf numFmtId="37" fontId="0" fillId="0" borderId="10" xfId="0" applyNumberFormat="1" applyBorder="1" applyAlignment="1">
      <alignment horizontal="right"/>
    </xf>
    <xf numFmtId="0" fontId="5" fillId="0" borderId="9" xfId="0" applyFont="1" applyBorder="1"/>
    <xf numFmtId="37" fontId="0" fillId="0" borderId="0" xfId="1" applyNumberFormat="1" applyFont="1" applyFill="1" applyBorder="1" applyAlignment="1"/>
    <xf numFmtId="37" fontId="0" fillId="0" borderId="10" xfId="1" applyNumberFormat="1" applyFont="1" applyFill="1" applyBorder="1" applyAlignment="1"/>
    <xf numFmtId="37" fontId="0" fillId="4" borderId="0" xfId="0" applyNumberFormat="1" applyFill="1" applyAlignment="1">
      <alignment horizontal="right"/>
    </xf>
    <xf numFmtId="37" fontId="0" fillId="4" borderId="1" xfId="0" applyNumberFormat="1" applyFill="1" applyBorder="1" applyAlignment="1">
      <alignment horizontal="right"/>
    </xf>
    <xf numFmtId="37" fontId="0" fillId="3" borderId="0" xfId="0" applyNumberFormat="1" applyFill="1" applyAlignment="1">
      <alignment horizontal="right"/>
    </xf>
    <xf numFmtId="37" fontId="0" fillId="4" borderId="3" xfId="0" applyNumberFormat="1" applyFill="1" applyBorder="1" applyAlignment="1">
      <alignment horizontal="right"/>
    </xf>
    <xf numFmtId="37" fontId="0" fillId="4" borderId="2" xfId="0" applyNumberFormat="1" applyFill="1" applyBorder="1" applyAlignment="1">
      <alignment horizontal="right"/>
    </xf>
    <xf numFmtId="37" fontId="0" fillId="4" borderId="0" xfId="0" applyNumberFormat="1" applyFill="1"/>
    <xf numFmtId="37" fontId="0" fillId="3" borderId="3" xfId="0" applyNumberFormat="1" applyFill="1" applyBorder="1" applyAlignment="1">
      <alignment horizontal="right"/>
    </xf>
    <xf numFmtId="37" fontId="0" fillId="3" borderId="1" xfId="0" applyNumberFormat="1" applyFill="1" applyBorder="1" applyAlignment="1">
      <alignment horizontal="right"/>
    </xf>
    <xf numFmtId="10" fontId="0" fillId="4" borderId="0" xfId="1" applyNumberFormat="1" applyFont="1" applyFill="1" applyBorder="1" applyAlignment="1"/>
    <xf numFmtId="10" fontId="0" fillId="4" borderId="0" xfId="1" applyNumberFormat="1" applyFont="1" applyFill="1" applyBorder="1" applyAlignment="1">
      <alignment horizontal="right"/>
    </xf>
    <xf numFmtId="37" fontId="0" fillId="3" borderId="10" xfId="0" applyNumberFormat="1" applyFill="1" applyBorder="1" applyAlignment="1">
      <alignment horizontal="right"/>
    </xf>
    <xf numFmtId="37" fontId="0" fillId="3" borderId="0" xfId="0" applyNumberFormat="1" applyFill="1"/>
    <xf numFmtId="37" fontId="0" fillId="3" borderId="10" xfId="0" applyNumberFormat="1" applyFill="1" applyBorder="1"/>
    <xf numFmtId="37" fontId="0" fillId="3" borderId="1" xfId="0" applyNumberFormat="1" applyFill="1" applyBorder="1"/>
    <xf numFmtId="37" fontId="0" fillId="3" borderId="13" xfId="0" applyNumberFormat="1" applyFill="1" applyBorder="1"/>
    <xf numFmtId="39" fontId="0" fillId="3" borderId="10" xfId="0" applyNumberFormat="1" applyFill="1" applyBorder="1"/>
    <xf numFmtId="1" fontId="0" fillId="0" borderId="0" xfId="0" applyNumberFormat="1"/>
    <xf numFmtId="0" fontId="5" fillId="0" borderId="0" xfId="0" applyFont="1" applyAlignment="1">
      <alignment horizontal="left"/>
    </xf>
    <xf numFmtId="0" fontId="12" fillId="0" borderId="0" xfId="0" applyFont="1"/>
    <xf numFmtId="37" fontId="0" fillId="4" borderId="7" xfId="0" applyNumberFormat="1" applyFill="1" applyBorder="1" applyAlignment="1">
      <alignment horizontal="right"/>
    </xf>
    <xf numFmtId="37" fontId="0" fillId="3" borderId="7" xfId="0" applyNumberFormat="1" applyFill="1" applyBorder="1"/>
    <xf numFmtId="37" fontId="0" fillId="3" borderId="8" xfId="0" applyNumberFormat="1" applyFill="1" applyBorder="1"/>
    <xf numFmtId="10" fontId="0" fillId="4" borderId="4" xfId="1" applyNumberFormat="1" applyFont="1" applyFill="1" applyBorder="1" applyAlignment="1">
      <alignment horizontal="right"/>
    </xf>
    <xf numFmtId="10" fontId="0" fillId="4" borderId="4" xfId="1" applyNumberFormat="1" applyFont="1" applyFill="1" applyBorder="1"/>
    <xf numFmtId="39" fontId="0" fillId="0" borderId="10" xfId="0" applyNumberFormat="1" applyBorder="1"/>
    <xf numFmtId="39" fontId="0" fillId="4" borderId="4" xfId="0" applyNumberFormat="1" applyFill="1" applyBorder="1"/>
    <xf numFmtId="37" fontId="0" fillId="4" borderId="1" xfId="0" applyNumberFormat="1" applyFill="1" applyBorder="1"/>
    <xf numFmtId="37" fontId="0" fillId="4" borderId="2" xfId="0" applyNumberFormat="1" applyFill="1" applyBorder="1"/>
    <xf numFmtId="37" fontId="0" fillId="4" borderId="4" xfId="0" applyNumberFormat="1" applyFill="1" applyBorder="1"/>
    <xf numFmtId="0" fontId="3" fillId="0" borderId="9" xfId="0" applyFont="1" applyBorder="1"/>
    <xf numFmtId="39" fontId="0" fillId="0" borderId="7" xfId="1" applyNumberFormat="1" applyFont="1" applyFill="1" applyBorder="1"/>
    <xf numFmtId="0" fontId="3" fillId="0" borderId="11" xfId="0" applyFont="1" applyBorder="1"/>
    <xf numFmtId="166" fontId="0" fillId="4" borderId="0" xfId="1" applyNumberFormat="1" applyFont="1" applyFill="1" applyBorder="1" applyAlignment="1"/>
    <xf numFmtId="164" fontId="9" fillId="0" borderId="6" xfId="0" applyNumberFormat="1" applyFont="1" applyBorder="1" applyAlignment="1">
      <alignment horizontal="left"/>
    </xf>
    <xf numFmtId="10" fontId="0" fillId="0" borderId="4" xfId="1" applyNumberFormat="1" applyFont="1" applyFill="1" applyBorder="1" applyAlignment="1"/>
    <xf numFmtId="166" fontId="0" fillId="0" borderId="10" xfId="1" applyNumberFormat="1" applyFont="1" applyFill="1" applyBorder="1"/>
    <xf numFmtId="37" fontId="0" fillId="4" borderId="3" xfId="0" applyNumberFormat="1" applyFill="1" applyBorder="1"/>
    <xf numFmtId="0" fontId="8" fillId="0" borderId="0" xfId="0" applyFont="1"/>
    <xf numFmtId="2" fontId="0" fillId="0" borderId="0" xfId="0" applyNumberFormat="1" applyAlignment="1">
      <alignment horizontal="center"/>
    </xf>
    <xf numFmtId="0" fontId="2" fillId="0" borderId="0" xfId="0" applyFont="1"/>
    <xf numFmtId="165" fontId="0" fillId="0" borderId="0" xfId="1" applyNumberFormat="1" applyFont="1" applyFill="1"/>
    <xf numFmtId="0" fontId="4" fillId="0" borderId="0" xfId="0" applyFont="1"/>
    <xf numFmtId="39" fontId="0" fillId="0" borderId="12" xfId="0" applyNumberFormat="1" applyBorder="1" applyAlignment="1">
      <alignment horizontal="right"/>
    </xf>
    <xf numFmtId="171" fontId="3" fillId="4" borderId="4" xfId="0" applyNumberFormat="1" applyFont="1" applyFill="1" applyBorder="1" applyAlignment="1">
      <alignment horizontal="center"/>
    </xf>
    <xf numFmtId="171" fontId="3" fillId="3" borderId="4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37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right"/>
    </xf>
    <xf numFmtId="164" fontId="3" fillId="0" borderId="9" xfId="0" applyNumberFormat="1" applyFont="1" applyBorder="1" applyAlignment="1">
      <alignment horizontal="left"/>
    </xf>
    <xf numFmtId="37" fontId="0" fillId="4" borderId="5" xfId="0" applyNumberFormat="1" applyFill="1" applyBorder="1" applyAlignment="1">
      <alignment horizontal="right"/>
    </xf>
    <xf numFmtId="10" fontId="0" fillId="4" borderId="1" xfId="1" applyNumberFormat="1" applyFont="1" applyFill="1" applyBorder="1" applyAlignment="1">
      <alignment horizontal="right"/>
    </xf>
    <xf numFmtId="10" fontId="0" fillId="4" borderId="3" xfId="1" applyNumberFormat="1" applyFont="1" applyFill="1" applyBorder="1" applyAlignment="1">
      <alignment horizontal="right"/>
    </xf>
    <xf numFmtId="10" fontId="0" fillId="4" borderId="2" xfId="1" applyNumberFormat="1" applyFont="1" applyFill="1" applyBorder="1" applyAlignment="1">
      <alignment horizontal="right"/>
    </xf>
    <xf numFmtId="10" fontId="0" fillId="4" borderId="5" xfId="1" applyNumberFormat="1" applyFont="1" applyFill="1" applyBorder="1" applyAlignment="1">
      <alignment horizontal="right"/>
    </xf>
    <xf numFmtId="10" fontId="0" fillId="4" borderId="0" xfId="0" applyNumberFormat="1" applyFill="1" applyAlignment="1">
      <alignment horizontal="right"/>
    </xf>
    <xf numFmtId="10" fontId="0" fillId="4" borderId="1" xfId="0" applyNumberFormat="1" applyFill="1" applyBorder="1" applyAlignment="1">
      <alignment horizontal="right"/>
    </xf>
    <xf numFmtId="10" fontId="0" fillId="4" borderId="2" xfId="0" applyNumberFormat="1" applyFill="1" applyBorder="1" applyAlignment="1">
      <alignment horizontal="right"/>
    </xf>
    <xf numFmtId="10" fontId="0" fillId="4" borderId="5" xfId="0" applyNumberFormat="1" applyFill="1" applyBorder="1" applyAlignment="1">
      <alignment horizontal="right"/>
    </xf>
    <xf numFmtId="10" fontId="0" fillId="5" borderId="0" xfId="1" applyNumberFormat="1" applyFont="1" applyFill="1" applyBorder="1" applyAlignment="1">
      <alignment horizontal="right"/>
    </xf>
    <xf numFmtId="10" fontId="0" fillId="5" borderId="1" xfId="1" applyNumberFormat="1" applyFont="1" applyFill="1" applyBorder="1" applyAlignment="1">
      <alignment horizontal="right"/>
    </xf>
    <xf numFmtId="10" fontId="0" fillId="5" borderId="3" xfId="1" applyNumberFormat="1" applyFont="1" applyFill="1" applyBorder="1" applyAlignment="1">
      <alignment horizontal="right"/>
    </xf>
    <xf numFmtId="10" fontId="0" fillId="5" borderId="2" xfId="1" applyNumberFormat="1" applyFont="1" applyFill="1" applyBorder="1" applyAlignment="1">
      <alignment horizontal="right"/>
    </xf>
    <xf numFmtId="10" fontId="0" fillId="5" borderId="5" xfId="1" applyNumberFormat="1" applyFont="1" applyFill="1" applyBorder="1" applyAlignment="1">
      <alignment horizontal="right"/>
    </xf>
    <xf numFmtId="10" fontId="0" fillId="5" borderId="0" xfId="0" applyNumberFormat="1" applyFill="1" applyAlignment="1">
      <alignment horizontal="right"/>
    </xf>
    <xf numFmtId="10" fontId="0" fillId="5" borderId="1" xfId="0" applyNumberFormat="1" applyFill="1" applyBorder="1" applyAlignment="1">
      <alignment horizontal="right"/>
    </xf>
    <xf numFmtId="10" fontId="0" fillId="5" borderId="2" xfId="0" applyNumberFormat="1" applyFill="1" applyBorder="1" applyAlignment="1">
      <alignment horizontal="right"/>
    </xf>
    <xf numFmtId="10" fontId="0" fillId="5" borderId="5" xfId="0" applyNumberFormat="1" applyFill="1" applyBorder="1" applyAlignment="1">
      <alignment horizontal="right"/>
    </xf>
    <xf numFmtId="10" fontId="0" fillId="5" borderId="3" xfId="0" applyNumberForma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" xfId="0" applyNumberFormat="1" applyFill="1" applyBorder="1" applyAlignment="1">
      <alignment horizontal="right"/>
    </xf>
    <xf numFmtId="166" fontId="0" fillId="5" borderId="2" xfId="0" applyNumberFormat="1" applyFill="1" applyBorder="1" applyAlignment="1">
      <alignment horizontal="right"/>
    </xf>
    <xf numFmtId="166" fontId="0" fillId="5" borderId="5" xfId="0" applyNumberFormat="1" applyFill="1" applyBorder="1" applyAlignment="1">
      <alignment horizontal="right"/>
    </xf>
    <xf numFmtId="10" fontId="0" fillId="4" borderId="3" xfId="0" applyNumberFormat="1" applyFill="1" applyBorder="1" applyAlignment="1">
      <alignment horizontal="right"/>
    </xf>
    <xf numFmtId="166" fontId="0" fillId="4" borderId="0" xfId="0" applyNumberFormat="1" applyFill="1" applyAlignment="1">
      <alignment horizontal="right"/>
    </xf>
    <xf numFmtId="166" fontId="0" fillId="4" borderId="1" xfId="0" applyNumberFormat="1" applyFill="1" applyBorder="1" applyAlignment="1">
      <alignment horizontal="right"/>
    </xf>
    <xf numFmtId="166" fontId="0" fillId="4" borderId="2" xfId="0" applyNumberFormat="1" applyFill="1" applyBorder="1" applyAlignment="1">
      <alignment horizontal="right"/>
    </xf>
    <xf numFmtId="166" fontId="0" fillId="4" borderId="5" xfId="0" applyNumberFormat="1" applyFill="1" applyBorder="1" applyAlignment="1">
      <alignment horizontal="right"/>
    </xf>
    <xf numFmtId="37" fontId="0" fillId="5" borderId="1" xfId="0" applyNumberFormat="1" applyFill="1" applyBorder="1" applyAlignment="1">
      <alignment horizontal="right"/>
    </xf>
    <xf numFmtId="171" fontId="3" fillId="5" borderId="4" xfId="0" applyNumberFormat="1" applyFont="1" applyFill="1" applyBorder="1" applyAlignment="1">
      <alignment horizontal="center"/>
    </xf>
    <xf numFmtId="37" fontId="0" fillId="5" borderId="5" xfId="0" applyNumberFormat="1" applyFill="1" applyBorder="1" applyAlignment="1">
      <alignment horizontal="right"/>
    </xf>
    <xf numFmtId="164" fontId="0" fillId="0" borderId="9" xfId="0" applyNumberFormat="1" applyBorder="1" applyAlignment="1">
      <alignment horizontal="left"/>
    </xf>
    <xf numFmtId="169" fontId="0" fillId="4" borderId="1" xfId="0" applyNumberFormat="1" applyFill="1" applyBorder="1" applyAlignment="1">
      <alignment horizontal="right"/>
    </xf>
    <xf numFmtId="164" fontId="3" fillId="0" borderId="6" xfId="0" applyNumberFormat="1" applyFont="1" applyBorder="1" applyAlignment="1">
      <alignment horizontal="left"/>
    </xf>
    <xf numFmtId="37" fontId="0" fillId="4" borderId="7" xfId="0" applyNumberFormat="1" applyFill="1" applyBorder="1"/>
    <xf numFmtId="37" fontId="0" fillId="0" borderId="4" xfId="0" applyNumberFormat="1" applyBorder="1" applyAlignment="1">
      <alignment horizontal="right"/>
    </xf>
    <xf numFmtId="37" fontId="0" fillId="0" borderId="12" xfId="0" applyNumberFormat="1" applyBorder="1" applyAlignment="1">
      <alignment horizontal="right"/>
    </xf>
    <xf numFmtId="37" fontId="0" fillId="0" borderId="7" xfId="0" applyNumberFormat="1" applyBorder="1" applyAlignment="1">
      <alignment horizontal="right"/>
    </xf>
    <xf numFmtId="37" fontId="0" fillId="6" borderId="0" xfId="0" applyNumberFormat="1" applyFill="1" applyAlignment="1">
      <alignment horizontal="right"/>
    </xf>
    <xf numFmtId="37" fontId="0" fillId="6" borderId="1" xfId="0" applyNumberFormat="1" applyFill="1" applyBorder="1" applyAlignment="1">
      <alignment horizontal="right"/>
    </xf>
    <xf numFmtId="37" fontId="0" fillId="6" borderId="2" xfId="0" applyNumberFormat="1" applyFill="1" applyBorder="1" applyAlignment="1">
      <alignment horizontal="right"/>
    </xf>
    <xf numFmtId="37" fontId="0" fillId="6" borderId="0" xfId="0" applyNumberFormat="1" applyFill="1"/>
    <xf numFmtId="37" fontId="0" fillId="6" borderId="4" xfId="0" applyNumberFormat="1" applyFill="1" applyBorder="1"/>
    <xf numFmtId="39" fontId="0" fillId="6" borderId="0" xfId="0" applyNumberFormat="1" applyFill="1"/>
    <xf numFmtId="10" fontId="0" fillId="6" borderId="0" xfId="1" applyNumberFormat="1" applyFont="1" applyFill="1" applyBorder="1"/>
    <xf numFmtId="10" fontId="0" fillId="6" borderId="4" xfId="1" applyNumberFormat="1" applyFont="1" applyFill="1" applyBorder="1"/>
    <xf numFmtId="37" fontId="0" fillId="6" borderId="7" xfId="0" applyNumberFormat="1" applyFill="1" applyBorder="1"/>
    <xf numFmtId="37" fontId="0" fillId="6" borderId="1" xfId="0" applyNumberFormat="1" applyFill="1" applyBorder="1"/>
    <xf numFmtId="166" fontId="0" fillId="6" borderId="0" xfId="1" applyNumberFormat="1" applyFont="1" applyFill="1" applyBorder="1"/>
    <xf numFmtId="39" fontId="0" fillId="0" borderId="7" xfId="0" applyNumberFormat="1" applyBorder="1"/>
    <xf numFmtId="37" fontId="0" fillId="6" borderId="7" xfId="0" applyNumberFormat="1" applyFill="1" applyBorder="1" applyAlignment="1">
      <alignment horizontal="right"/>
    </xf>
    <xf numFmtId="167" fontId="0" fillId="0" borderId="10" xfId="0" applyNumberFormat="1" applyBorder="1"/>
    <xf numFmtId="39" fontId="0" fillId="6" borderId="4" xfId="0" applyNumberFormat="1" applyFill="1" applyBorder="1"/>
    <xf numFmtId="167" fontId="0" fillId="3" borderId="7" xfId="0" applyNumberFormat="1" applyFill="1" applyBorder="1"/>
    <xf numFmtId="167" fontId="0" fillId="3" borderId="8" xfId="0" applyNumberFormat="1" applyFill="1" applyBorder="1"/>
    <xf numFmtId="37" fontId="0" fillId="6" borderId="2" xfId="0" applyNumberFormat="1" applyFill="1" applyBorder="1"/>
    <xf numFmtId="37" fontId="0" fillId="3" borderId="2" xfId="0" applyNumberFormat="1" applyFill="1" applyBorder="1" applyAlignment="1">
      <alignment horizontal="right"/>
    </xf>
    <xf numFmtId="37" fontId="0" fillId="3" borderId="4" xfId="0" applyNumberFormat="1" applyFill="1" applyBorder="1"/>
    <xf numFmtId="37" fontId="0" fillId="3" borderId="12" xfId="0" applyNumberFormat="1" applyFill="1" applyBorder="1"/>
    <xf numFmtId="39" fontId="0" fillId="6" borderId="4" xfId="0" applyNumberFormat="1" applyFill="1" applyBorder="1" applyAlignment="1">
      <alignment horizontal="right"/>
    </xf>
    <xf numFmtId="39" fontId="0" fillId="0" borderId="19" xfId="0" applyNumberFormat="1" applyBorder="1"/>
    <xf numFmtId="37" fontId="0" fillId="0" borderId="0" xfId="1" applyNumberFormat="1" applyFont="1" applyFill="1" applyBorder="1"/>
    <xf numFmtId="37" fontId="0" fillId="6" borderId="3" xfId="0" applyNumberFormat="1" applyFill="1" applyBorder="1"/>
    <xf numFmtId="165" fontId="0" fillId="0" borderId="0" xfId="1" applyNumberFormat="1" applyFont="1" applyFill="1" applyBorder="1"/>
    <xf numFmtId="165" fontId="0" fillId="0" borderId="1" xfId="0" applyNumberFormat="1" applyBorder="1"/>
    <xf numFmtId="165" fontId="0" fillId="6" borderId="0" xfId="1" applyNumberFormat="1" applyFont="1" applyFill="1" applyBorder="1"/>
    <xf numFmtId="165" fontId="0" fillId="6" borderId="1" xfId="0" applyNumberFormat="1" applyFill="1" applyBorder="1"/>
    <xf numFmtId="165" fontId="0" fillId="6" borderId="1" xfId="1" applyNumberFormat="1" applyFont="1" applyFill="1" applyBorder="1"/>
    <xf numFmtId="165" fontId="0" fillId="0" borderId="10" xfId="1" applyNumberFormat="1" applyFont="1" applyFill="1" applyBorder="1"/>
    <xf numFmtId="165" fontId="0" fillId="0" borderId="13" xfId="0" applyNumberFormat="1" applyBorder="1"/>
    <xf numFmtId="165" fontId="0" fillId="3" borderId="10" xfId="0" applyNumberFormat="1" applyFill="1" applyBorder="1"/>
    <xf numFmtId="39" fontId="0" fillId="3" borderId="1" xfId="0" applyNumberFormat="1" applyFill="1" applyBorder="1"/>
    <xf numFmtId="39" fontId="0" fillId="6" borderId="1" xfId="0" applyNumberFormat="1" applyFill="1" applyBorder="1"/>
    <xf numFmtId="39" fontId="0" fillId="6" borderId="2" xfId="0" applyNumberFormat="1" applyFill="1" applyBorder="1"/>
    <xf numFmtId="39" fontId="0" fillId="3" borderId="2" xfId="0" applyNumberFormat="1" applyFill="1" applyBorder="1"/>
    <xf numFmtId="39" fontId="0" fillId="3" borderId="18" xfId="0" applyNumberFormat="1" applyFill="1" applyBorder="1"/>
    <xf numFmtId="39" fontId="0" fillId="3" borderId="13" xfId="0" applyNumberFormat="1" applyFill="1" applyBorder="1"/>
    <xf numFmtId="9" fontId="0" fillId="0" borderId="0" xfId="1" applyFont="1"/>
    <xf numFmtId="37" fontId="0" fillId="0" borderId="8" xfId="0" applyNumberFormat="1" applyBorder="1" applyAlignment="1">
      <alignment horizontal="right"/>
    </xf>
    <xf numFmtId="164" fontId="0" fillId="0" borderId="11" xfId="0" applyNumberFormat="1" applyBorder="1" applyAlignment="1">
      <alignment horizontal="left"/>
    </xf>
    <xf numFmtId="0" fontId="4" fillId="0" borderId="9" xfId="0" applyFont="1" applyBorder="1"/>
    <xf numFmtId="37" fontId="0" fillId="3" borderId="5" xfId="0" applyNumberFormat="1" applyFill="1" applyBorder="1" applyAlignment="1">
      <alignment horizontal="right"/>
    </xf>
    <xf numFmtId="169" fontId="2" fillId="2" borderId="0" xfId="0" applyNumberFormat="1" applyFont="1" applyFill="1" applyAlignment="1">
      <alignment horizontal="center"/>
    </xf>
    <xf numFmtId="39" fontId="0" fillId="4" borderId="0" xfId="0" applyNumberFormat="1" applyFill="1"/>
    <xf numFmtId="39" fontId="0" fillId="3" borderId="0" xfId="0" applyNumberFormat="1" applyFill="1"/>
    <xf numFmtId="0" fontId="13" fillId="7" borderId="0" xfId="0" applyFont="1" applyFill="1"/>
    <xf numFmtId="0" fontId="2" fillId="7" borderId="0" xfId="0" applyFont="1" applyFill="1" applyAlignment="1">
      <alignment horizontal="center"/>
    </xf>
    <xf numFmtId="0" fontId="5" fillId="8" borderId="4" xfId="0" applyFont="1" applyFill="1" applyBorder="1" applyAlignment="1">
      <alignment horizontal="left"/>
    </xf>
    <xf numFmtId="39" fontId="0" fillId="8" borderId="4" xfId="0" applyNumberFormat="1" applyFill="1" applyBorder="1" applyAlignment="1">
      <alignment horizontal="center"/>
    </xf>
    <xf numFmtId="0" fontId="5" fillId="8" borderId="4" xfId="0" applyFont="1" applyFill="1" applyBorder="1"/>
    <xf numFmtId="2" fontId="0" fillId="8" borderId="4" xfId="0" applyNumberFormat="1" applyFill="1" applyBorder="1" applyAlignment="1">
      <alignment horizontal="center"/>
    </xf>
    <xf numFmtId="0" fontId="8" fillId="8" borderId="4" xfId="0" applyFont="1" applyFill="1" applyBorder="1"/>
    <xf numFmtId="10" fontId="0" fillId="8" borderId="4" xfId="1" applyNumberFormat="1" applyFont="1" applyFill="1" applyBorder="1" applyAlignment="1">
      <alignment horizontal="center"/>
    </xf>
    <xf numFmtId="39" fontId="2" fillId="7" borderId="0" xfId="0" applyNumberFormat="1" applyFont="1" applyFill="1" applyAlignment="1">
      <alignment horizontal="center"/>
    </xf>
    <xf numFmtId="167" fontId="0" fillId="0" borderId="0" xfId="0" applyNumberFormat="1"/>
    <xf numFmtId="165" fontId="0" fillId="3" borderId="1" xfId="0" applyNumberFormat="1" applyFill="1" applyBorder="1"/>
    <xf numFmtId="165" fontId="0" fillId="3" borderId="13" xfId="0" applyNumberFormat="1" applyFill="1" applyBorder="1"/>
    <xf numFmtId="165" fontId="0" fillId="6" borderId="0" xfId="0" applyNumberFormat="1" applyFill="1"/>
    <xf numFmtId="165" fontId="0" fillId="3" borderId="0" xfId="0" applyNumberFormat="1" applyFill="1"/>
    <xf numFmtId="37" fontId="0" fillId="0" borderId="13" xfId="0" applyNumberFormat="1" applyBorder="1"/>
    <xf numFmtId="0" fontId="0" fillId="0" borderId="13" xfId="0" applyBorder="1"/>
    <xf numFmtId="0" fontId="0" fillId="0" borderId="12" xfId="0" applyBorder="1"/>
    <xf numFmtId="37" fontId="0" fillId="5" borderId="0" xfId="0" applyNumberFormat="1" applyFill="1" applyAlignment="1">
      <alignment horizontal="right"/>
    </xf>
    <xf numFmtId="166" fontId="0" fillId="5" borderId="0" xfId="1" applyNumberFormat="1" applyFont="1" applyFill="1" applyBorder="1" applyAlignment="1"/>
    <xf numFmtId="10" fontId="0" fillId="5" borderId="0" xfId="1" applyNumberFormat="1" applyFont="1" applyFill="1" applyBorder="1" applyAlignment="1"/>
    <xf numFmtId="37" fontId="0" fillId="5" borderId="0" xfId="1" applyNumberFormat="1" applyFont="1" applyFill="1" applyBorder="1" applyAlignment="1"/>
    <xf numFmtId="37" fontId="0" fillId="5" borderId="1" xfId="1" applyNumberFormat="1" applyFont="1" applyFill="1" applyBorder="1" applyAlignment="1"/>
    <xf numFmtId="37" fontId="0" fillId="5" borderId="10" xfId="0" applyNumberFormat="1" applyFill="1" applyBorder="1" applyAlignment="1">
      <alignment horizontal="right"/>
    </xf>
    <xf numFmtId="166" fontId="0" fillId="5" borderId="10" xfId="1" applyNumberFormat="1" applyFont="1" applyFill="1" applyBorder="1" applyAlignment="1"/>
    <xf numFmtId="37" fontId="0" fillId="5" borderId="0" xfId="0" applyNumberFormat="1" applyFill="1"/>
    <xf numFmtId="37" fontId="0" fillId="5" borderId="10" xfId="0" applyNumberFormat="1" applyFill="1" applyBorder="1"/>
    <xf numFmtId="10" fontId="0" fillId="5" borderId="10" xfId="1" applyNumberFormat="1" applyFont="1" applyFill="1" applyBorder="1" applyAlignment="1"/>
    <xf numFmtId="37" fontId="0" fillId="5" borderId="10" xfId="1" applyNumberFormat="1" applyFont="1" applyFill="1" applyBorder="1" applyAlignment="1"/>
    <xf numFmtId="37" fontId="0" fillId="5" borderId="13" xfId="1" applyNumberFormat="1" applyFont="1" applyFill="1" applyBorder="1" applyAlignment="1"/>
    <xf numFmtId="39" fontId="0" fillId="5" borderId="0" xfId="0" applyNumberFormat="1" applyFill="1"/>
    <xf numFmtId="39" fontId="0" fillId="5" borderId="10" xfId="0" applyNumberFormat="1" applyFill="1" applyBorder="1"/>
    <xf numFmtId="169" fontId="0" fillId="4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right"/>
    </xf>
    <xf numFmtId="169" fontId="0" fillId="5" borderId="10" xfId="0" applyNumberFormat="1" applyFill="1" applyBorder="1" applyAlignment="1">
      <alignment horizontal="right"/>
    </xf>
    <xf numFmtId="37" fontId="0" fillId="5" borderId="13" xfId="0" applyNumberFormat="1" applyFill="1" applyBorder="1" applyAlignment="1">
      <alignment horizontal="right"/>
    </xf>
    <xf numFmtId="37" fontId="0" fillId="5" borderId="1" xfId="0" applyNumberFormat="1" applyFill="1" applyBorder="1"/>
    <xf numFmtId="37" fontId="0" fillId="5" borderId="3" xfId="0" applyNumberFormat="1" applyFill="1" applyBorder="1" applyAlignment="1">
      <alignment horizontal="right"/>
    </xf>
    <xf numFmtId="37" fontId="0" fillId="5" borderId="13" xfId="0" applyNumberFormat="1" applyFill="1" applyBorder="1"/>
    <xf numFmtId="37" fontId="0" fillId="5" borderId="17" xfId="0" applyNumberFormat="1" applyFill="1" applyBorder="1" applyAlignment="1">
      <alignment horizontal="right"/>
    </xf>
    <xf numFmtId="37" fontId="0" fillId="5" borderId="20" xfId="0" applyNumberFormat="1" applyFill="1" applyBorder="1" applyAlignment="1">
      <alignment horizontal="right"/>
    </xf>
    <xf numFmtId="37" fontId="0" fillId="5" borderId="7" xfId="0" applyNumberFormat="1" applyFill="1" applyBorder="1"/>
    <xf numFmtId="37" fontId="0" fillId="5" borderId="8" xfId="0" applyNumberFormat="1" applyFill="1" applyBorder="1"/>
    <xf numFmtId="10" fontId="0" fillId="5" borderId="10" xfId="1" applyNumberFormat="1" applyFont="1" applyFill="1" applyBorder="1" applyAlignment="1">
      <alignment horizontal="right"/>
    </xf>
    <xf numFmtId="10" fontId="0" fillId="5" borderId="4" xfId="1" applyNumberFormat="1" applyFont="1" applyFill="1" applyBorder="1" applyAlignment="1">
      <alignment horizontal="right"/>
    </xf>
    <xf numFmtId="10" fontId="0" fillId="5" borderId="12" xfId="1" applyNumberFormat="1" applyFont="1" applyFill="1" applyBorder="1" applyAlignment="1">
      <alignment horizontal="right"/>
    </xf>
    <xf numFmtId="10" fontId="0" fillId="5" borderId="0" xfId="1" applyNumberFormat="1" applyFont="1" applyFill="1" applyBorder="1"/>
    <xf numFmtId="39" fontId="0" fillId="5" borderId="7" xfId="0" applyNumberFormat="1" applyFill="1" applyBorder="1"/>
    <xf numFmtId="166" fontId="0" fillId="5" borderId="0" xfId="1" applyNumberFormat="1" applyFont="1" applyFill="1" applyBorder="1"/>
    <xf numFmtId="37" fontId="0" fillId="5" borderId="3" xfId="0" applyNumberFormat="1" applyFill="1" applyBorder="1"/>
    <xf numFmtId="39" fontId="0" fillId="5" borderId="8" xfId="0" applyNumberFormat="1" applyFill="1" applyBorder="1"/>
    <xf numFmtId="10" fontId="0" fillId="5" borderId="4" xfId="1" applyNumberFormat="1" applyFont="1" applyFill="1" applyBorder="1"/>
    <xf numFmtId="10" fontId="0" fillId="5" borderId="12" xfId="1" applyNumberFormat="1" applyFont="1" applyFill="1" applyBorder="1"/>
    <xf numFmtId="10" fontId="0" fillId="5" borderId="10" xfId="1" applyNumberFormat="1" applyFont="1" applyFill="1" applyBorder="1"/>
    <xf numFmtId="37" fontId="0" fillId="5" borderId="17" xfId="0" applyNumberFormat="1" applyFill="1" applyBorder="1"/>
    <xf numFmtId="166" fontId="0" fillId="5" borderId="10" xfId="1" applyNumberFormat="1" applyFont="1" applyFill="1" applyBorder="1"/>
    <xf numFmtId="9" fontId="0" fillId="6" borderId="0" xfId="1" applyFont="1" applyFill="1" applyBorder="1"/>
    <xf numFmtId="172" fontId="0" fillId="5" borderId="0" xfId="0" applyNumberFormat="1" applyFill="1"/>
    <xf numFmtId="37" fontId="0" fillId="5" borderId="2" xfId="0" applyNumberFormat="1" applyFill="1" applyBorder="1" applyAlignment="1">
      <alignment horizontal="right"/>
    </xf>
    <xf numFmtId="37" fontId="0" fillId="6" borderId="5" xfId="0" applyNumberFormat="1" applyFill="1" applyBorder="1"/>
    <xf numFmtId="37" fontId="0" fillId="5" borderId="2" xfId="0" applyNumberFormat="1" applyFill="1" applyBorder="1"/>
    <xf numFmtId="37" fontId="0" fillId="5" borderId="0" xfId="2" applyNumberFormat="1" applyFont="1" applyFill="1" applyBorder="1"/>
    <xf numFmtId="39" fontId="0" fillId="5" borderId="4" xfId="0" applyNumberFormat="1" applyFill="1" applyBorder="1"/>
    <xf numFmtId="37" fontId="0" fillId="5" borderId="4" xfId="0" applyNumberFormat="1" applyFill="1" applyBorder="1"/>
    <xf numFmtId="37" fontId="0" fillId="5" borderId="0" xfId="0" applyNumberFormat="1" applyFill="1" applyAlignment="1">
      <alignment horizontal="center"/>
    </xf>
    <xf numFmtId="10" fontId="0" fillId="5" borderId="0" xfId="1" applyNumberFormat="1" applyFont="1" applyFill="1" applyAlignment="1">
      <alignment horizontal="center"/>
    </xf>
    <xf numFmtId="37" fontId="0" fillId="5" borderId="1" xfId="0" applyNumberFormat="1" applyFill="1" applyBorder="1" applyAlignment="1">
      <alignment horizontal="center"/>
    </xf>
    <xf numFmtId="39" fontId="3" fillId="4" borderId="0" xfId="0" applyNumberFormat="1" applyFont="1" applyFill="1" applyAlignment="1">
      <alignment horizontal="center"/>
    </xf>
    <xf numFmtId="39" fontId="3" fillId="3" borderId="0" xfId="0" applyNumberFormat="1" applyFont="1" applyFill="1" applyAlignment="1">
      <alignment horizontal="center"/>
    </xf>
    <xf numFmtId="39" fontId="3" fillId="5" borderId="0" xfId="0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DAEEF3"/>
      <color rgb="FFEEECE2"/>
      <color rgb="FFE5E2D3"/>
      <color rgb="FF2B7485"/>
      <color rgb="FFEBF5F9"/>
      <color rgb="FFF9FCFD"/>
      <color rgb="FFE8F5F8"/>
      <color rgb="FF8698B0"/>
      <color rgb="FFFFFF99"/>
      <color rgb="FFE5F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426793</xdr:colOff>
      <xdr:row>32</xdr:row>
      <xdr:rowOff>55411</xdr:rowOff>
    </xdr:from>
    <xdr:to>
      <xdr:col>3</xdr:col>
      <xdr:colOff>605386</xdr:colOff>
      <xdr:row>36</xdr:row>
      <xdr:rowOff>25646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26793" y="10459642"/>
          <a:ext cx="4171766" cy="732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Building materials</a:t>
          </a:r>
          <a:r>
            <a:rPr lang="en-US" sz="1100"/>
            <a:t>--lumber,</a:t>
          </a:r>
          <a:r>
            <a:rPr lang="en-US" sz="1100" baseline="0"/>
            <a:t> electrical, lighting, plumbing, millwork</a:t>
          </a:r>
        </a:p>
        <a:p>
          <a:r>
            <a:rPr lang="en-US" sz="1100" b="1" baseline="0"/>
            <a:t>Decor</a:t>
          </a:r>
          <a:r>
            <a:rPr lang="en-US" sz="1100" baseline="0"/>
            <a:t>--appliances, decor, storage, flooring, litchen, bath, paint</a:t>
          </a:r>
        </a:p>
        <a:p>
          <a:r>
            <a:rPr lang="en-US" sz="1100" b="1" baseline="0"/>
            <a:t>Hardlines</a:t>
          </a:r>
          <a:r>
            <a:rPr lang="en-US" sz="1100" baseline="0"/>
            <a:t>--hardward, tools, indoor garden, outdoor garden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95249</xdr:colOff>
      <xdr:row>4</xdr:row>
      <xdr:rowOff>51174</xdr:rowOff>
    </xdr:from>
    <xdr:to>
      <xdr:col>27</xdr:col>
      <xdr:colOff>112500</xdr:colOff>
      <xdr:row>17</xdr:row>
      <xdr:rowOff>132812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9A6E1-1030-4B07-63CE-2B9966FD5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67949" y="746499"/>
          <a:ext cx="8551651" cy="25581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2</xdr:row>
      <xdr:rowOff>190499</xdr:rowOff>
    </xdr:from>
    <xdr:to>
      <xdr:col>25</xdr:col>
      <xdr:colOff>571501</xdr:colOff>
      <xdr:row>16</xdr:row>
      <xdr:rowOff>175730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38EFF1-B027-BE2C-A08E-62E4778E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581024"/>
          <a:ext cx="8296276" cy="2423631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209551</xdr:colOff>
      <xdr:row>18</xdr:row>
      <xdr:rowOff>180975</xdr:rowOff>
    </xdr:from>
    <xdr:to>
      <xdr:col>25</xdr:col>
      <xdr:colOff>552451</xdr:colOff>
      <xdr:row>23</xdr:row>
      <xdr:rowOff>183094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FB5CD4-D96B-7379-72E2-6D8181257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44051" y="3390900"/>
          <a:ext cx="8248650" cy="954619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180975</xdr:colOff>
      <xdr:row>25</xdr:row>
      <xdr:rowOff>66675</xdr:rowOff>
    </xdr:from>
    <xdr:to>
      <xdr:col>25</xdr:col>
      <xdr:colOff>514350</xdr:colOff>
      <xdr:row>34</xdr:row>
      <xdr:rowOff>175603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D89E1CC-0010-A302-FC76-BABB6587E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15475" y="4610100"/>
          <a:ext cx="8239125" cy="1832953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219075</xdr:colOff>
      <xdr:row>122</xdr:row>
      <xdr:rowOff>180975</xdr:rowOff>
    </xdr:from>
    <xdr:to>
      <xdr:col>25</xdr:col>
      <xdr:colOff>514350</xdr:colOff>
      <xdr:row>132</xdr:row>
      <xdr:rowOff>178297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CB6E544-0665-13AE-CA7C-426E62B2E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3575" y="23060025"/>
          <a:ext cx="8201025" cy="1940422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190501</xdr:colOff>
      <xdr:row>97</xdr:row>
      <xdr:rowOff>38100</xdr:rowOff>
    </xdr:from>
    <xdr:to>
      <xdr:col>25</xdr:col>
      <xdr:colOff>554929</xdr:colOff>
      <xdr:row>112</xdr:row>
      <xdr:rowOff>133350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970ECA6-3C19-33D5-D62D-CCA2A6B8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01" y="18087975"/>
          <a:ext cx="8270178" cy="2981325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180976</xdr:colOff>
      <xdr:row>113</xdr:row>
      <xdr:rowOff>66675</xdr:rowOff>
    </xdr:from>
    <xdr:to>
      <xdr:col>25</xdr:col>
      <xdr:colOff>523876</xdr:colOff>
      <xdr:row>121</xdr:row>
      <xdr:rowOff>189607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E2DAEB2-362E-C184-0C50-7547C63F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5476" y="21202650"/>
          <a:ext cx="8248650" cy="1675507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257175</xdr:colOff>
      <xdr:row>47</xdr:row>
      <xdr:rowOff>133350</xdr:rowOff>
    </xdr:from>
    <xdr:to>
      <xdr:col>25</xdr:col>
      <xdr:colOff>495300</xdr:colOff>
      <xdr:row>65</xdr:row>
      <xdr:rowOff>62388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E1812D-A89E-49D6-BA5B-E23A75F44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91675" y="8924925"/>
          <a:ext cx="8143875" cy="3158013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257175</xdr:colOff>
      <xdr:row>36</xdr:row>
      <xdr:rowOff>180975</xdr:rowOff>
    </xdr:from>
    <xdr:to>
      <xdr:col>25</xdr:col>
      <xdr:colOff>495300</xdr:colOff>
      <xdr:row>46</xdr:row>
      <xdr:rowOff>65311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06591E2-D027-9D5B-B8CE-DB5B969B1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91675" y="6838950"/>
          <a:ext cx="8143875" cy="1817911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33</xdr:row>
      <xdr:rowOff>152401</xdr:rowOff>
    </xdr:from>
    <xdr:to>
      <xdr:col>11</xdr:col>
      <xdr:colOff>369887</xdr:colOff>
      <xdr:row>43</xdr:row>
      <xdr:rowOff>114300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2990850" y="6172201"/>
          <a:ext cx="7037387" cy="1771649"/>
        </a:xfrm>
        <a:prstGeom prst="rect">
          <a:avLst/>
        </a:prstGeom>
        <a:solidFill>
          <a:schemeClr val="lt1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Minimum Debt Payments</a:t>
          </a:r>
        </a:p>
        <a:p>
          <a:pPr marL="171450" indent="-171450">
            <a:spcBef>
              <a:spcPts val="600"/>
            </a:spcBef>
            <a:spcAft>
              <a:spcPts val="0"/>
            </a:spcAft>
            <a:buFont typeface="Arial" panose="020B0604020202020204" pitchFamily="34" charset="0"/>
            <a:buChar char="•"/>
          </a:pPr>
          <a:r>
            <a:rPr lang="en-US" sz="1100"/>
            <a:t>Need to include debt payments and finance lease payments.</a:t>
          </a: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FYE 2026 payments use begininning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balance of current maturities of LTD of $4,582.</a:t>
          </a:r>
          <a:endParaRPr lang="en-US" sz="1100">
            <a:effectLst/>
          </a:endParaRPr>
        </a:p>
        <a:p>
          <a:pPr marL="171450" marR="0" lvl="0" indent="-171450" defTabSz="914400" eaLnBrk="1" fontAlgn="auto" latinLnBrk="0" hangingPunct="1">
            <a:lnSpc>
              <a:spcPct val="100000"/>
            </a:lnSpc>
            <a:spcBef>
              <a:spcPts val="60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Finance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lease payments include principal and interest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Approximate interest = $137 (3.7%*3,702). FYE 2027 payment = 374-137 =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237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marL="171450" indent="-171450">
            <a:spcBef>
              <a:spcPts val="600"/>
            </a:spcBef>
            <a:spcAft>
              <a:spcPts val="0"/>
            </a:spcAft>
            <a:buFont typeface="Arial" panose="020B0604020202020204" pitchFamily="34" charset="0"/>
            <a:buChar char="•"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FYE 2026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debt plus lease payments of 4,608 + 237 = 4,845</a:t>
          </a:r>
        </a:p>
        <a:p>
          <a:pPr marL="171450" indent="-171450">
            <a:spcBef>
              <a:spcPts val="600"/>
            </a:spcBef>
            <a:spcAft>
              <a:spcPts val="0"/>
            </a:spcAft>
            <a:buFont typeface="Arial" panose="020B0604020202020204" pitchFamily="34" charset="0"/>
            <a:buChar char="•"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Approximate lease payments: FYE 2028--210; FYE 2029--173; FYE 2030--147  </a:t>
          </a:r>
          <a:endParaRPr lang="en-US" sz="1100" baseline="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  <a:p>
          <a:endParaRPr lang="en-US" sz="1100"/>
        </a:p>
      </xdr:txBody>
    </xdr:sp>
    <xdr:clientData/>
  </xdr:twoCellAnchor>
  <xdr:twoCellAnchor editAs="oneCell">
    <xdr:from>
      <xdr:col>13</xdr:col>
      <xdr:colOff>173836</xdr:colOff>
      <xdr:row>2</xdr:row>
      <xdr:rowOff>28576</xdr:rowOff>
    </xdr:from>
    <xdr:to>
      <xdr:col>23</xdr:col>
      <xdr:colOff>523875</xdr:colOff>
      <xdr:row>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A261B-79A2-2013-2730-BE14336F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4186" y="419101"/>
          <a:ext cx="6779414" cy="1390649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161925</xdr:colOff>
      <xdr:row>10</xdr:row>
      <xdr:rowOff>171450</xdr:rowOff>
    </xdr:from>
    <xdr:to>
      <xdr:col>23</xdr:col>
      <xdr:colOff>466725</xdr:colOff>
      <xdr:row>17</xdr:row>
      <xdr:rowOff>110966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8EFF8E-796D-B4FC-03DB-1ED2656CB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82275" y="2085975"/>
          <a:ext cx="6734175" cy="1273016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13</xdr:col>
      <xdr:colOff>171450</xdr:colOff>
      <xdr:row>18</xdr:row>
      <xdr:rowOff>123825</xdr:rowOff>
    </xdr:from>
    <xdr:to>
      <xdr:col>23</xdr:col>
      <xdr:colOff>500493</xdr:colOff>
      <xdr:row>29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486A19-E7BE-28D7-6F62-B2E27FC9B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91800" y="3562350"/>
          <a:ext cx="6758418" cy="2000250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275783</xdr:colOff>
      <xdr:row>87</xdr:row>
      <xdr:rowOff>95250</xdr:rowOff>
    </xdr:from>
    <xdr:to>
      <xdr:col>24</xdr:col>
      <xdr:colOff>402823</xdr:colOff>
      <xdr:row>113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B82656-5821-C94B-64C9-151B1403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48433" y="16621125"/>
          <a:ext cx="7813715" cy="4867275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219075</xdr:colOff>
      <xdr:row>59</xdr:row>
      <xdr:rowOff>123826</xdr:rowOff>
    </xdr:from>
    <xdr:to>
      <xdr:col>24</xdr:col>
      <xdr:colOff>409575</xdr:colOff>
      <xdr:row>67</xdr:row>
      <xdr:rowOff>20010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2C54FA-01CF-4EE9-4C6B-705D5B609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91725" y="11363326"/>
          <a:ext cx="7877175" cy="1420184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209551</xdr:colOff>
      <xdr:row>67</xdr:row>
      <xdr:rowOff>161925</xdr:rowOff>
    </xdr:from>
    <xdr:to>
      <xdr:col>24</xdr:col>
      <xdr:colOff>409576</xdr:colOff>
      <xdr:row>77</xdr:row>
      <xdr:rowOff>5528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435F14-BCB5-9EB5-F5E6-E4D945256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82201" y="12925425"/>
          <a:ext cx="7886700" cy="1672403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 editAs="oneCell">
    <xdr:from>
      <xdr:col>12</xdr:col>
      <xdr:colOff>238124</xdr:colOff>
      <xdr:row>77</xdr:row>
      <xdr:rowOff>176085</xdr:rowOff>
    </xdr:from>
    <xdr:to>
      <xdr:col>24</xdr:col>
      <xdr:colOff>333374</xdr:colOff>
      <xdr:row>86</xdr:row>
      <xdr:rowOff>65824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987A68-96DD-7369-8538-F0568385E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10774" y="14768385"/>
          <a:ext cx="7781925" cy="1632814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49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N17" sqref="N17"/>
    </sheetView>
  </sheetViews>
  <sheetFormatPr defaultRowHeight="15" x14ac:dyDescent="0.25"/>
  <cols>
    <col min="1" max="1" width="48.28515625" customWidth="1"/>
    <col min="2" max="7" width="9.7109375" style="16" customWidth="1"/>
    <col min="8" max="8" width="10.140625" style="16" customWidth="1"/>
    <col min="9" max="10" width="10.85546875" style="16" customWidth="1"/>
    <col min="11" max="12" width="10.5703125" style="16" bestFit="1" customWidth="1"/>
    <col min="16" max="16" width="12.85546875" bestFit="1" customWidth="1"/>
  </cols>
  <sheetData>
    <row r="1" spans="1:19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9" s="2" customFormat="1" ht="15.75" thickBot="1" x14ac:dyDescent="0.3">
      <c r="A2" s="11" t="s">
        <v>3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9" s="2" customFormat="1" ht="7.9" customHeight="1" x14ac:dyDescent="0.25">
      <c r="A3" s="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9" x14ac:dyDescent="0.25">
      <c r="A4" s="6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O4" s="6"/>
    </row>
    <row r="5" spans="1:19" x14ac:dyDescent="0.25">
      <c r="A5" t="s">
        <v>5</v>
      </c>
      <c r="B5" s="93">
        <f t="shared" ref="B5:F5" si="0">B134</f>
        <v>2133</v>
      </c>
      <c r="C5" s="93">
        <f t="shared" si="0"/>
        <v>7895</v>
      </c>
      <c r="D5" s="93">
        <f t="shared" si="0"/>
        <v>2343</v>
      </c>
      <c r="E5" s="93">
        <f t="shared" si="0"/>
        <v>2757</v>
      </c>
      <c r="F5" s="93">
        <f t="shared" si="0"/>
        <v>3760</v>
      </c>
      <c r="G5" s="93">
        <f t="shared" ref="G5:K5" si="1">G134</f>
        <v>1659</v>
      </c>
      <c r="H5" s="95">
        <f t="shared" si="1"/>
        <v>2600</v>
      </c>
      <c r="I5" s="95">
        <f t="shared" si="1"/>
        <v>2600</v>
      </c>
      <c r="J5" s="95">
        <f t="shared" si="1"/>
        <v>2600</v>
      </c>
      <c r="K5" s="95">
        <f t="shared" si="1"/>
        <v>2600</v>
      </c>
      <c r="L5" s="95">
        <f>L134</f>
        <v>2600</v>
      </c>
      <c r="P5" s="12"/>
    </row>
    <row r="6" spans="1:19" x14ac:dyDescent="0.25">
      <c r="A6" t="s">
        <v>6</v>
      </c>
      <c r="B6" s="93">
        <v>0</v>
      </c>
      <c r="C6" s="93">
        <v>0</v>
      </c>
      <c r="D6" s="93">
        <v>0</v>
      </c>
      <c r="E6" s="93">
        <v>0</v>
      </c>
      <c r="F6" s="93">
        <v>0</v>
      </c>
      <c r="G6" s="93">
        <v>0</v>
      </c>
      <c r="H6" s="244">
        <f>G6+Financing!H139</f>
        <v>965.07882892528687</v>
      </c>
      <c r="I6" s="244">
        <f>H6+Financing!I139</f>
        <v>1431.5134343066184</v>
      </c>
      <c r="J6" s="244">
        <f>I6+Financing!J139</f>
        <v>4733.0502028413212</v>
      </c>
      <c r="K6" s="244">
        <f>J6+Financing!K139</f>
        <v>10762.566554657171</v>
      </c>
      <c r="L6" s="244">
        <f>K6+Financing!L139</f>
        <v>17202.781087848431</v>
      </c>
      <c r="P6" s="12"/>
    </row>
    <row r="7" spans="1:19" ht="15" customHeight="1" x14ac:dyDescent="0.25">
      <c r="A7" t="s">
        <v>7</v>
      </c>
      <c r="B7" s="93">
        <v>2106</v>
      </c>
      <c r="C7" s="93">
        <v>2992</v>
      </c>
      <c r="D7" s="93">
        <v>3426</v>
      </c>
      <c r="E7" s="93">
        <v>3317</v>
      </c>
      <c r="F7" s="93">
        <v>3328</v>
      </c>
      <c r="G7" s="93">
        <v>4903</v>
      </c>
      <c r="H7" s="244">
        <f>'Working Capital'!H4</f>
        <v>3756.53753439197</v>
      </c>
      <c r="I7" s="244">
        <f>'Working Capital'!I4</f>
        <v>4041.4541492974304</v>
      </c>
      <c r="J7" s="244">
        <f>'Working Capital'!J4</f>
        <v>4348.1289291160665</v>
      </c>
      <c r="K7" s="244">
        <f>'Working Capital'!K4</f>
        <v>4678.2338349493239</v>
      </c>
      <c r="L7" s="244">
        <f>'Working Capital'!L4</f>
        <v>5033.5700258490942</v>
      </c>
      <c r="P7" s="12"/>
    </row>
    <row r="8" spans="1:19" ht="15" customHeight="1" x14ac:dyDescent="0.25">
      <c r="A8" t="s">
        <v>8</v>
      </c>
      <c r="B8" s="93">
        <v>14531</v>
      </c>
      <c r="C8" s="93">
        <v>16627</v>
      </c>
      <c r="D8" s="93">
        <v>22068</v>
      </c>
      <c r="E8" s="93">
        <v>24886</v>
      </c>
      <c r="F8" s="93">
        <v>20976</v>
      </c>
      <c r="G8" s="93">
        <v>23451</v>
      </c>
      <c r="H8" s="244">
        <f>'Working Capital'!H8</f>
        <v>23277.426064154854</v>
      </c>
      <c r="I8" s="244">
        <f>'Working Capital'!I8</f>
        <v>25042.914995702187</v>
      </c>
      <c r="J8" s="244">
        <f>'Working Capital'!J8</f>
        <v>26943.228634954754</v>
      </c>
      <c r="K8" s="244">
        <f>'Working Capital'!K8</f>
        <v>28988.727307229343</v>
      </c>
      <c r="L8" s="244">
        <f>'Working Capital'!L8</f>
        <v>31190.571914360797</v>
      </c>
      <c r="P8" s="12"/>
    </row>
    <row r="9" spans="1:19" x14ac:dyDescent="0.25">
      <c r="A9" t="s">
        <v>9</v>
      </c>
      <c r="B9" s="94">
        <v>1040</v>
      </c>
      <c r="C9" s="94">
        <v>963</v>
      </c>
      <c r="D9" s="94">
        <v>1218</v>
      </c>
      <c r="E9" s="94">
        <v>1511</v>
      </c>
      <c r="F9" s="94">
        <v>1711</v>
      </c>
      <c r="G9" s="94">
        <v>1670</v>
      </c>
      <c r="H9" s="170">
        <f>'Working Capital'!H12</f>
        <v>1595.9407585098299</v>
      </c>
      <c r="I9" s="170">
        <f>'Working Capital'!I12</f>
        <v>1716.9857459061484</v>
      </c>
      <c r="J9" s="170">
        <f>'Working Capital'!J12</f>
        <v>1847.2745494223386</v>
      </c>
      <c r="K9" s="170">
        <f>'Working Capital'!K12</f>
        <v>1987.517490955629</v>
      </c>
      <c r="L9" s="170">
        <f>'Working Capital'!L12</f>
        <v>2138.4797813197433</v>
      </c>
      <c r="P9" s="12"/>
    </row>
    <row r="10" spans="1:19" x14ac:dyDescent="0.25">
      <c r="A10" s="8" t="s">
        <v>10</v>
      </c>
      <c r="B10" s="93">
        <f t="shared" ref="B10:L10" si="2">SUM(B5:B9)</f>
        <v>19810</v>
      </c>
      <c r="C10" s="93">
        <f t="shared" si="2"/>
        <v>28477</v>
      </c>
      <c r="D10" s="93">
        <f t="shared" si="2"/>
        <v>29055</v>
      </c>
      <c r="E10" s="93">
        <f t="shared" si="2"/>
        <v>32471</v>
      </c>
      <c r="F10" s="93">
        <f t="shared" si="2"/>
        <v>29775</v>
      </c>
      <c r="G10" s="93">
        <f t="shared" si="2"/>
        <v>31683</v>
      </c>
      <c r="H10" s="95">
        <f t="shared" si="2"/>
        <v>32194.983185981939</v>
      </c>
      <c r="I10" s="95">
        <f t="shared" si="2"/>
        <v>34832.868325212381</v>
      </c>
      <c r="J10" s="95">
        <f t="shared" si="2"/>
        <v>40471.682316334482</v>
      </c>
      <c r="K10" s="95">
        <f t="shared" si="2"/>
        <v>49017.045187791467</v>
      </c>
      <c r="L10" s="95">
        <f t="shared" si="2"/>
        <v>58165.402809378065</v>
      </c>
      <c r="P10" s="12"/>
    </row>
    <row r="11" spans="1:19" ht="14.45" customHeight="1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O11" s="8"/>
      <c r="P11" s="12"/>
    </row>
    <row r="12" spans="1:19" x14ac:dyDescent="0.25">
      <c r="A12" t="s">
        <v>11</v>
      </c>
      <c r="B12" s="93">
        <v>22770</v>
      </c>
      <c r="C12" s="93">
        <v>24705</v>
      </c>
      <c r="D12" s="93">
        <v>25199</v>
      </c>
      <c r="E12" s="93">
        <v>25631</v>
      </c>
      <c r="F12" s="93">
        <v>26154</v>
      </c>
      <c r="G12" s="93">
        <v>26702</v>
      </c>
      <c r="H12" s="244">
        <f>'Long Term Asset &amp; Liab'!H15</f>
        <v>27196.247554242284</v>
      </c>
      <c r="I12" s="244">
        <f>'Long Term Asset &amp; Liab'!I15</f>
        <v>27763.532593463198</v>
      </c>
      <c r="J12" s="244">
        <f>'Long Term Asset &amp; Liab'!J15</f>
        <v>28410.018599028008</v>
      </c>
      <c r="K12" s="244">
        <f>'Long Term Asset &amp; Liab'!K15</f>
        <v>29142.409252127232</v>
      </c>
      <c r="L12" s="244">
        <f>'Long Term Asset &amp; Liab'!L15</f>
        <v>29967.996394479233</v>
      </c>
      <c r="N12" s="14"/>
      <c r="O12" s="14"/>
      <c r="P12" s="14"/>
      <c r="Q12" s="14"/>
      <c r="R12" s="14"/>
      <c r="S12" s="14"/>
    </row>
    <row r="13" spans="1:19" x14ac:dyDescent="0.25">
      <c r="A13" t="s">
        <v>12</v>
      </c>
      <c r="B13" s="93">
        <v>5595</v>
      </c>
      <c r="C13" s="93">
        <v>5962</v>
      </c>
      <c r="D13" s="93">
        <v>5968</v>
      </c>
      <c r="E13" s="93">
        <v>6941</v>
      </c>
      <c r="F13" s="93">
        <v>7884</v>
      </c>
      <c r="G13" s="93">
        <v>8592</v>
      </c>
      <c r="H13" s="14">
        <v>8592</v>
      </c>
      <c r="I13" s="14">
        <v>8592</v>
      </c>
      <c r="J13" s="14">
        <v>8592</v>
      </c>
      <c r="K13" s="14">
        <v>8592</v>
      </c>
      <c r="L13" s="14">
        <v>8592</v>
      </c>
      <c r="O13" s="12"/>
      <c r="P13" s="12"/>
      <c r="Q13" s="12"/>
      <c r="R13" s="12"/>
      <c r="S13" s="12"/>
    </row>
    <row r="14" spans="1:19" x14ac:dyDescent="0.25">
      <c r="A14" t="s">
        <v>13</v>
      </c>
      <c r="B14" s="93">
        <v>2254</v>
      </c>
      <c r="C14" s="93">
        <v>7126</v>
      </c>
      <c r="D14" s="93">
        <v>7449</v>
      </c>
      <c r="E14" s="93">
        <v>7444</v>
      </c>
      <c r="F14" s="93">
        <v>8455</v>
      </c>
      <c r="G14" s="93">
        <v>19475</v>
      </c>
      <c r="H14" s="244">
        <f>'Long Term Asset &amp; Liab'!H113</f>
        <v>19475</v>
      </c>
      <c r="I14" s="244">
        <f>'Long Term Asset &amp; Liab'!I113</f>
        <v>19475</v>
      </c>
      <c r="J14" s="244">
        <f>'Long Term Asset &amp; Liab'!J113</f>
        <v>19475</v>
      </c>
      <c r="K14" s="244">
        <f>'Long Term Asset &amp; Liab'!K113</f>
        <v>19475</v>
      </c>
      <c r="L14" s="244">
        <f>'Long Term Asset &amp; Liab'!L113</f>
        <v>19475</v>
      </c>
      <c r="P14" s="12"/>
    </row>
    <row r="15" spans="1:19" x14ac:dyDescent="0.25">
      <c r="A15" t="s">
        <v>14</v>
      </c>
      <c r="B15" s="93">
        <v>0</v>
      </c>
      <c r="C15" s="93">
        <v>3612</v>
      </c>
      <c r="D15" s="93">
        <v>3503</v>
      </c>
      <c r="E15" s="93">
        <v>3323</v>
      </c>
      <c r="F15" s="93">
        <v>3606</v>
      </c>
      <c r="G15" s="93">
        <v>8983</v>
      </c>
      <c r="H15" s="244">
        <f>'Long Term Asset &amp; Liab'!H106</f>
        <v>8430</v>
      </c>
      <c r="I15" s="244">
        <f>'Long Term Asset &amp; Liab'!I106</f>
        <v>7877</v>
      </c>
      <c r="J15" s="244">
        <f>'Long Term Asset &amp; Liab'!J106</f>
        <v>7332</v>
      </c>
      <c r="K15" s="244">
        <f>'Long Term Asset &amp; Liab'!K106</f>
        <v>6804</v>
      </c>
      <c r="L15" s="244">
        <f>'Long Term Asset &amp; Liab'!L106</f>
        <v>6318</v>
      </c>
      <c r="P15" s="12"/>
    </row>
    <row r="16" spans="1:19" x14ac:dyDescent="0.25">
      <c r="A16" t="s">
        <v>15</v>
      </c>
      <c r="B16" s="94">
        <v>807</v>
      </c>
      <c r="C16" s="94">
        <v>699</v>
      </c>
      <c r="D16" s="94">
        <v>702</v>
      </c>
      <c r="E16" s="94">
        <f>3958-3323</f>
        <v>635</v>
      </c>
      <c r="F16" s="94">
        <f>4262-3606</f>
        <v>656</v>
      </c>
      <c r="G16" s="94">
        <v>684</v>
      </c>
      <c r="H16" s="170">
        <f>'Long Term Asset &amp; Liab'!H121</f>
        <v>772.22939927894993</v>
      </c>
      <c r="I16" s="170">
        <f>'Long Term Asset &amp; Liab'!I121</f>
        <v>830.799554470717</v>
      </c>
      <c r="J16" s="170">
        <f>'Long Term Asset &amp; Liab'!J121</f>
        <v>893.84252391403481</v>
      </c>
      <c r="K16" s="170">
        <f>'Long Term Asset &amp; Liab'!K121</f>
        <v>961.70201175272371</v>
      </c>
      <c r="L16" s="170">
        <f>'Long Term Asset &amp; Liab'!L121</f>
        <v>1034.7482812837468</v>
      </c>
      <c r="P16" s="12"/>
    </row>
    <row r="17" spans="1:16" ht="15.75" thickBot="1" x14ac:dyDescent="0.3">
      <c r="A17" s="8" t="s">
        <v>16</v>
      </c>
      <c r="B17" s="96">
        <f t="shared" ref="B17:L17" si="3">SUM(B10:B16)</f>
        <v>51236</v>
      </c>
      <c r="C17" s="96">
        <f t="shared" si="3"/>
        <v>70581</v>
      </c>
      <c r="D17" s="96">
        <f t="shared" si="3"/>
        <v>71876</v>
      </c>
      <c r="E17" s="96">
        <f t="shared" si="3"/>
        <v>76445</v>
      </c>
      <c r="F17" s="96">
        <f t="shared" si="3"/>
        <v>76530</v>
      </c>
      <c r="G17" s="96">
        <f t="shared" si="3"/>
        <v>96119</v>
      </c>
      <c r="H17" s="99">
        <f t="shared" si="3"/>
        <v>96660.460139503164</v>
      </c>
      <c r="I17" s="99">
        <f t="shared" si="3"/>
        <v>99371.200473146309</v>
      </c>
      <c r="J17" s="99">
        <f t="shared" si="3"/>
        <v>105174.54343927652</v>
      </c>
      <c r="K17" s="99">
        <f t="shared" si="3"/>
        <v>113992.15645167143</v>
      </c>
      <c r="L17" s="99">
        <f t="shared" si="3"/>
        <v>123553.14748514103</v>
      </c>
      <c r="P17" s="12"/>
    </row>
    <row r="18" spans="1:16" ht="14.45" customHeight="1" thickTop="1" x14ac:dyDescent="0.25">
      <c r="A18" s="8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O18" s="8"/>
      <c r="P18" s="12"/>
    </row>
    <row r="19" spans="1:16" x14ac:dyDescent="0.25">
      <c r="A19" s="6" t="s">
        <v>17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O19" s="8"/>
      <c r="P19" s="12"/>
    </row>
    <row r="20" spans="1:16" x14ac:dyDescent="0.25">
      <c r="A20" s="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O20" s="8"/>
      <c r="P20" s="12"/>
    </row>
    <row r="21" spans="1:16" x14ac:dyDescent="0.25">
      <c r="A21" s="20" t="s">
        <v>18</v>
      </c>
      <c r="B21" s="93">
        <v>974</v>
      </c>
      <c r="C21" s="93">
        <v>0</v>
      </c>
      <c r="D21" s="93">
        <v>1035</v>
      </c>
      <c r="E21" s="93">
        <v>0</v>
      </c>
      <c r="F21" s="93">
        <v>0</v>
      </c>
      <c r="G21" s="93">
        <v>316</v>
      </c>
      <c r="H21" s="14">
        <v>316</v>
      </c>
      <c r="I21" s="14">
        <v>316</v>
      </c>
      <c r="J21" s="14">
        <v>316</v>
      </c>
      <c r="K21" s="14">
        <v>316</v>
      </c>
      <c r="L21" s="14">
        <v>316</v>
      </c>
      <c r="O21" s="8"/>
      <c r="P21" s="12"/>
    </row>
    <row r="22" spans="1:16" x14ac:dyDescent="0.25">
      <c r="A22" t="s">
        <v>19</v>
      </c>
      <c r="B22" s="93">
        <v>7787</v>
      </c>
      <c r="C22" s="93">
        <v>11606</v>
      </c>
      <c r="D22" s="93">
        <v>13462</v>
      </c>
      <c r="E22" s="93">
        <v>11443</v>
      </c>
      <c r="F22" s="93">
        <v>10037</v>
      </c>
      <c r="G22" s="93">
        <v>11938</v>
      </c>
      <c r="H22" s="244">
        <f>'Working Capital'!H16</f>
        <v>12861.805757094169</v>
      </c>
      <c r="I22" s="244">
        <f>'Working Capital'!I16</f>
        <v>13837.316350115829</v>
      </c>
      <c r="J22" s="244">
        <f>'Working Capital'!J16</f>
        <v>14887.323547572292</v>
      </c>
      <c r="K22" s="244">
        <f>'Working Capital'!K16</f>
        <v>16017.551886679896</v>
      </c>
      <c r="L22" s="244">
        <f>'Working Capital'!L16</f>
        <v>17234.168258532103</v>
      </c>
      <c r="O22" s="6"/>
      <c r="P22" s="12"/>
    </row>
    <row r="23" spans="1:16" x14ac:dyDescent="0.25">
      <c r="A23" t="s">
        <v>20</v>
      </c>
      <c r="B23" s="93">
        <v>1494</v>
      </c>
      <c r="C23" s="93">
        <v>2463</v>
      </c>
      <c r="D23" s="93">
        <v>2426</v>
      </c>
      <c r="E23" s="93">
        <v>1991</v>
      </c>
      <c r="F23" s="93">
        <v>2096</v>
      </c>
      <c r="G23" s="93">
        <v>2315</v>
      </c>
      <c r="H23" s="244">
        <f>'Working Capital'!H20</f>
        <v>2591.2929722204444</v>
      </c>
      <c r="I23" s="244">
        <f>'Working Capital'!I20</f>
        <v>2787.8309849819379</v>
      </c>
      <c r="J23" s="244">
        <f>'Working Capital'!J20</f>
        <v>2999.3779732459352</v>
      </c>
      <c r="K23" s="244">
        <f>'Working Capital'!K20</f>
        <v>3227.0872706374398</v>
      </c>
      <c r="L23" s="244">
        <f>'Working Capital'!L20</f>
        <v>3472.201332675741</v>
      </c>
      <c r="P23" s="12"/>
    </row>
    <row r="24" spans="1:16" x14ac:dyDescent="0.25">
      <c r="A24" t="s">
        <v>21</v>
      </c>
      <c r="B24" s="93">
        <v>605</v>
      </c>
      <c r="C24" s="93">
        <v>774</v>
      </c>
      <c r="D24" s="93">
        <v>848</v>
      </c>
      <c r="E24" s="93">
        <v>528</v>
      </c>
      <c r="F24" s="93">
        <v>449</v>
      </c>
      <c r="G24" s="93">
        <v>628</v>
      </c>
      <c r="H24" s="244">
        <f>'Working Capital'!H24</f>
        <v>737.90809264433005</v>
      </c>
      <c r="I24" s="244">
        <f>'Working Capital'!I24</f>
        <v>793.87512982757414</v>
      </c>
      <c r="J24" s="244">
        <f>'Working Capital'!J24</f>
        <v>854.11618951785556</v>
      </c>
      <c r="K24" s="244">
        <f>'Working Capital'!K24</f>
        <v>918.95970011926943</v>
      </c>
      <c r="L24" s="244">
        <f>'Working Capital'!L24</f>
        <v>988.75946878224704</v>
      </c>
      <c r="P24" s="12"/>
    </row>
    <row r="25" spans="1:16" x14ac:dyDescent="0.25">
      <c r="A25" t="s">
        <v>22</v>
      </c>
      <c r="B25" s="93">
        <v>2116</v>
      </c>
      <c r="C25" s="93">
        <v>2823</v>
      </c>
      <c r="D25" s="93">
        <v>3596</v>
      </c>
      <c r="E25" s="93">
        <v>3064</v>
      </c>
      <c r="F25" s="93">
        <v>2762</v>
      </c>
      <c r="G25" s="93">
        <v>2610</v>
      </c>
      <c r="H25" s="244">
        <f>'Working Capital'!H28</f>
        <v>3397.8093568273803</v>
      </c>
      <c r="I25" s="244">
        <f>'Working Capital'!I28</f>
        <v>3655.5180396711553</v>
      </c>
      <c r="J25" s="244">
        <f>'Working Capital'!J28</f>
        <v>3932.9071052217537</v>
      </c>
      <c r="K25" s="244">
        <f>'Working Capital'!K28</f>
        <v>4231.4888517119853</v>
      </c>
      <c r="L25" s="244">
        <f>'Working Capital'!L28</f>
        <v>4552.8924376484865</v>
      </c>
      <c r="P25" s="12"/>
    </row>
    <row r="26" spans="1:16" x14ac:dyDescent="0.25">
      <c r="A26" t="s">
        <v>23</v>
      </c>
      <c r="B26" s="93">
        <v>55</v>
      </c>
      <c r="C26" s="93">
        <v>193</v>
      </c>
      <c r="D26" s="93">
        <v>158</v>
      </c>
      <c r="E26" s="93">
        <v>50</v>
      </c>
      <c r="F26" s="93">
        <v>28</v>
      </c>
      <c r="G26" s="93">
        <v>832</v>
      </c>
      <c r="H26" s="244">
        <f>'Working Capital'!H32</f>
        <v>289.79898577556196</v>
      </c>
      <c r="I26" s="244">
        <f>'Working Capital'!I32</f>
        <v>316.50851165770428</v>
      </c>
      <c r="J26" s="244">
        <f>'Working Capital'!J32</f>
        <v>345.84095304870726</v>
      </c>
      <c r="K26" s="244">
        <f>'Working Capital'!K32</f>
        <v>374.17873372112649</v>
      </c>
      <c r="L26" s="244">
        <f>'Working Capital'!L32</f>
        <v>402.00634712532758</v>
      </c>
      <c r="P26" s="12"/>
    </row>
    <row r="27" spans="1:16" x14ac:dyDescent="0.25">
      <c r="A27" t="s">
        <v>24</v>
      </c>
      <c r="B27" s="93">
        <v>1839</v>
      </c>
      <c r="C27" s="93">
        <v>1416</v>
      </c>
      <c r="D27" s="93">
        <v>2447</v>
      </c>
      <c r="E27" s="93">
        <v>1231</v>
      </c>
      <c r="F27" s="93">
        <v>1368</v>
      </c>
      <c r="G27" s="93">
        <v>4582</v>
      </c>
      <c r="H27" s="244">
        <f>Financing!H9</f>
        <v>4845</v>
      </c>
      <c r="I27" s="244">
        <f>Financing!I9</f>
        <v>3769</v>
      </c>
      <c r="J27" s="244">
        <f>Financing!J9</f>
        <v>2727</v>
      </c>
      <c r="K27" s="244">
        <f>Financing!K9</f>
        <v>3946</v>
      </c>
      <c r="L27" s="244">
        <f>Financing!L9</f>
        <v>3946</v>
      </c>
      <c r="P27" s="12"/>
    </row>
    <row r="28" spans="1:16" x14ac:dyDescent="0.25">
      <c r="A28" t="s">
        <v>25</v>
      </c>
      <c r="B28" s="93">
        <v>828</v>
      </c>
      <c r="C28" s="93">
        <v>828</v>
      </c>
      <c r="D28" s="93">
        <v>830</v>
      </c>
      <c r="E28" s="93">
        <v>945</v>
      </c>
      <c r="F28" s="93">
        <v>1050</v>
      </c>
      <c r="G28" s="93">
        <v>1274</v>
      </c>
      <c r="H28" s="14">
        <v>1274</v>
      </c>
      <c r="I28" s="14">
        <v>1274</v>
      </c>
      <c r="J28" s="14">
        <v>1274</v>
      </c>
      <c r="K28" s="14">
        <v>1274</v>
      </c>
      <c r="L28" s="14">
        <v>1274</v>
      </c>
      <c r="P28" s="12"/>
    </row>
    <row r="29" spans="1:16" x14ac:dyDescent="0.25">
      <c r="A29" t="s">
        <v>26</v>
      </c>
      <c r="B29" s="94">
        <v>2677</v>
      </c>
      <c r="C29" s="94">
        <v>3063</v>
      </c>
      <c r="D29" s="94">
        <v>3891</v>
      </c>
      <c r="E29" s="94">
        <v>3858</v>
      </c>
      <c r="F29" s="94">
        <v>4225</v>
      </c>
      <c r="G29" s="94">
        <v>4166</v>
      </c>
      <c r="H29" s="170">
        <f>'Working Capital'!H36</f>
        <v>4358.8059425967404</v>
      </c>
      <c r="I29" s="170">
        <f>'Working Capital'!I36</f>
        <v>4689.4019296791585</v>
      </c>
      <c r="J29" s="170">
        <f>'Working Capital'!J36</f>
        <v>5045.2444683147742</v>
      </c>
      <c r="K29" s="170">
        <f>'Working Capital'!K36</f>
        <v>5428.2735774487073</v>
      </c>
      <c r="L29" s="170">
        <f>'Working Capital'!L36</f>
        <v>5840.5791876904823</v>
      </c>
      <c r="P29" s="12"/>
    </row>
    <row r="30" spans="1:16" x14ac:dyDescent="0.25">
      <c r="A30" s="8" t="s">
        <v>27</v>
      </c>
      <c r="B30" s="93">
        <f>SUM(B21:B29)</f>
        <v>18375</v>
      </c>
      <c r="C30" s="93">
        <f t="shared" ref="C30:L30" si="4">SUM(C21:C29)</f>
        <v>23166</v>
      </c>
      <c r="D30" s="93">
        <f t="shared" si="4"/>
        <v>28693</v>
      </c>
      <c r="E30" s="93">
        <f t="shared" si="4"/>
        <v>23110</v>
      </c>
      <c r="F30" s="93">
        <f t="shared" si="4"/>
        <v>22015</v>
      </c>
      <c r="G30" s="93">
        <f t="shared" si="4"/>
        <v>28661</v>
      </c>
      <c r="H30" s="95">
        <f t="shared" si="4"/>
        <v>30672.421107158629</v>
      </c>
      <c r="I30" s="95">
        <f t="shared" si="4"/>
        <v>31439.45094593336</v>
      </c>
      <c r="J30" s="95">
        <f t="shared" si="4"/>
        <v>32381.810236921319</v>
      </c>
      <c r="K30" s="95">
        <f t="shared" si="4"/>
        <v>35733.540020318425</v>
      </c>
      <c r="L30" s="95">
        <f t="shared" si="4"/>
        <v>38026.607032454383</v>
      </c>
      <c r="P30" s="12"/>
    </row>
    <row r="31" spans="1:16" ht="14.45" customHeight="1" x14ac:dyDescent="0.25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P31" s="12"/>
    </row>
    <row r="32" spans="1:16" x14ac:dyDescent="0.25">
      <c r="A32" t="s">
        <v>28</v>
      </c>
      <c r="B32" s="93">
        <v>28670</v>
      </c>
      <c r="C32" s="93">
        <v>35822</v>
      </c>
      <c r="D32" s="93">
        <v>36604</v>
      </c>
      <c r="E32" s="93">
        <v>41962</v>
      </c>
      <c r="F32" s="93">
        <v>42743</v>
      </c>
      <c r="G32" s="93">
        <v>48485</v>
      </c>
      <c r="H32" s="244">
        <f>Financing!H21</f>
        <v>43640</v>
      </c>
      <c r="I32" s="244">
        <f>Financing!I21</f>
        <v>39871</v>
      </c>
      <c r="J32" s="244">
        <f>Financing!J21</f>
        <v>37144</v>
      </c>
      <c r="K32" s="244">
        <f>Financing!K21</f>
        <v>33198</v>
      </c>
      <c r="L32" s="244">
        <f>Financing!L21</f>
        <v>29252</v>
      </c>
      <c r="N32" s="14"/>
      <c r="O32" s="8"/>
      <c r="P32" s="12"/>
    </row>
    <row r="33" spans="1:19" x14ac:dyDescent="0.25">
      <c r="A33" t="s">
        <v>29</v>
      </c>
      <c r="B33" s="93">
        <v>5066</v>
      </c>
      <c r="C33" s="93">
        <v>5356</v>
      </c>
      <c r="D33" s="93">
        <v>5353</v>
      </c>
      <c r="E33" s="93">
        <v>6226</v>
      </c>
      <c r="F33" s="93">
        <v>7082</v>
      </c>
      <c r="G33" s="93">
        <v>7633</v>
      </c>
      <c r="H33" s="14">
        <v>7633</v>
      </c>
      <c r="I33" s="14">
        <v>7633</v>
      </c>
      <c r="J33" s="14">
        <v>7633</v>
      </c>
      <c r="K33" s="14">
        <v>7633</v>
      </c>
      <c r="L33" s="14">
        <v>7633</v>
      </c>
      <c r="N33" s="14"/>
      <c r="O33" s="8"/>
      <c r="P33" s="12"/>
    </row>
    <row r="34" spans="1:19" x14ac:dyDescent="0.25">
      <c r="A34" t="s">
        <v>30</v>
      </c>
      <c r="B34" s="93">
        <v>706</v>
      </c>
      <c r="C34" s="93">
        <v>1131</v>
      </c>
      <c r="D34" s="93">
        <v>909</v>
      </c>
      <c r="E34" s="93">
        <v>1019</v>
      </c>
      <c r="F34" s="93">
        <v>863</v>
      </c>
      <c r="G34" s="93">
        <v>1962</v>
      </c>
      <c r="H34" s="244">
        <f>'Long Term Asset &amp; Liab'!H131</f>
        <v>1575.8956800513292</v>
      </c>
      <c r="I34" s="244">
        <f>'Long Term Asset &amp; Liab'!I131</f>
        <v>1576.3042321730475</v>
      </c>
      <c r="J34" s="244">
        <f>'Long Term Asset &amp; Liab'!J131</f>
        <v>1579.2067319322011</v>
      </c>
      <c r="K34" s="244">
        <f>'Long Term Asset &amp; Liab'!K131</f>
        <v>1585.052304610839</v>
      </c>
      <c r="L34" s="244">
        <f>'Long Term Asset &amp; Liab'!L131</f>
        <v>1594.7644968821062</v>
      </c>
      <c r="N34" s="14"/>
      <c r="O34" s="8"/>
      <c r="P34" s="12"/>
    </row>
    <row r="35" spans="1:19" x14ac:dyDescent="0.25">
      <c r="A35" t="s">
        <v>31</v>
      </c>
      <c r="B35" s="93">
        <v>1535</v>
      </c>
      <c r="C35" s="93">
        <v>1807</v>
      </c>
      <c r="D35" s="93">
        <v>2013</v>
      </c>
      <c r="E35" s="93">
        <v>2566</v>
      </c>
      <c r="F35" s="93">
        <v>2783</v>
      </c>
      <c r="G35" s="93">
        <v>2738</v>
      </c>
      <c r="H35" s="244">
        <f>'Long Term Asset &amp; Liab'!H126</f>
        <v>2694.2225708176697</v>
      </c>
      <c r="I35" s="244">
        <f>'Long Term Asset &amp; Liab'!I126</f>
        <v>2898.5673344867237</v>
      </c>
      <c r="J35" s="244">
        <f>'Long Term Asset &amp; Liab'!J126</f>
        <v>3118.517250100077</v>
      </c>
      <c r="K35" s="244">
        <f>'Long Term Asset &amp; Liab'!K126</f>
        <v>3355.2714632261695</v>
      </c>
      <c r="L35" s="244">
        <f>'Long Term Asset &amp; Liab'!L126</f>
        <v>3610.1217813677385</v>
      </c>
      <c r="P35" s="12"/>
    </row>
    <row r="36" spans="1:19" x14ac:dyDescent="0.25">
      <c r="A36" s="8" t="s">
        <v>32</v>
      </c>
      <c r="B36" s="97">
        <f t="shared" ref="B36:L36" si="5">SUM(B30:B35)</f>
        <v>54352</v>
      </c>
      <c r="C36" s="97">
        <f t="shared" si="5"/>
        <v>67282</v>
      </c>
      <c r="D36" s="97">
        <f t="shared" si="5"/>
        <v>73572</v>
      </c>
      <c r="E36" s="97">
        <f t="shared" si="5"/>
        <v>74883</v>
      </c>
      <c r="F36" s="97">
        <f t="shared" si="5"/>
        <v>75486</v>
      </c>
      <c r="G36" s="97">
        <f t="shared" si="5"/>
        <v>89479</v>
      </c>
      <c r="H36" s="198">
        <f t="shared" si="5"/>
        <v>86215.539358027629</v>
      </c>
      <c r="I36" s="198">
        <f t="shared" si="5"/>
        <v>83418.322512593135</v>
      </c>
      <c r="J36" s="198">
        <f t="shared" si="5"/>
        <v>81856.534218953588</v>
      </c>
      <c r="K36" s="198">
        <f t="shared" si="5"/>
        <v>81504.863788155431</v>
      </c>
      <c r="L36" s="198">
        <f t="shared" si="5"/>
        <v>80116.493310704231</v>
      </c>
      <c r="P36" s="12"/>
    </row>
    <row r="37" spans="1:19" ht="14.45" customHeight="1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P37" s="12"/>
    </row>
    <row r="38" spans="1:19" ht="14.25" customHeight="1" x14ac:dyDescent="0.25">
      <c r="A38" s="6" t="s">
        <v>33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P38" s="12"/>
    </row>
    <row r="39" spans="1:19" x14ac:dyDescent="0.25">
      <c r="A39" t="s">
        <v>34</v>
      </c>
      <c r="B39" s="93">
        <v>89</v>
      </c>
      <c r="C39" s="93">
        <v>89</v>
      </c>
      <c r="D39" s="93">
        <v>90</v>
      </c>
      <c r="E39" s="93">
        <v>90</v>
      </c>
      <c r="F39" s="93">
        <v>90</v>
      </c>
      <c r="G39" s="93">
        <v>90</v>
      </c>
      <c r="H39" s="244">
        <f>Financing!H49</f>
        <v>90</v>
      </c>
      <c r="I39" s="244">
        <f>Financing!I49</f>
        <v>90</v>
      </c>
      <c r="J39" s="244">
        <f>Financing!J49</f>
        <v>90</v>
      </c>
      <c r="K39" s="244">
        <f>Financing!K49</f>
        <v>90</v>
      </c>
      <c r="L39" s="244">
        <f>Financing!L49</f>
        <v>90</v>
      </c>
      <c r="O39" s="8"/>
      <c r="P39" s="12"/>
    </row>
    <row r="40" spans="1:19" x14ac:dyDescent="0.25">
      <c r="A40" t="s">
        <v>35</v>
      </c>
      <c r="B40" s="93">
        <v>11001</v>
      </c>
      <c r="C40" s="93">
        <v>11540</v>
      </c>
      <c r="D40" s="93">
        <v>12132</v>
      </c>
      <c r="E40" s="93">
        <v>12592</v>
      </c>
      <c r="F40" s="93">
        <v>13147</v>
      </c>
      <c r="G40" s="93">
        <v>14117</v>
      </c>
      <c r="H40" s="244">
        <f>Financing!H50</f>
        <v>14811.188563886726</v>
      </c>
      <c r="I40" s="244">
        <f>Financing!I50</f>
        <v>15560.124031216743</v>
      </c>
      <c r="J40" s="244">
        <f>Financing!J50</f>
        <v>16368.217920080675</v>
      </c>
      <c r="K40" s="244">
        <f>Financing!K50</f>
        <v>17240.231226076325</v>
      </c>
      <c r="L40" s="244">
        <f>Financing!L50</f>
        <v>18181.727015365959</v>
      </c>
    </row>
    <row r="41" spans="1:19" x14ac:dyDescent="0.25">
      <c r="A41" t="s">
        <v>36</v>
      </c>
      <c r="B41" s="93">
        <v>51729</v>
      </c>
      <c r="C41" s="93">
        <v>58134</v>
      </c>
      <c r="D41" s="93">
        <v>67580</v>
      </c>
      <c r="E41" s="93">
        <v>76896</v>
      </c>
      <c r="F41" s="93">
        <v>83656</v>
      </c>
      <c r="G41" s="93">
        <v>89533</v>
      </c>
      <c r="H41" s="95">
        <f>G41+H79+Financing!H103</f>
        <v>98843.732217588826</v>
      </c>
      <c r="I41" s="95">
        <f>H41+I79+Financing!I103</f>
        <v>109802.75392933644</v>
      </c>
      <c r="J41" s="95">
        <f>I41+J79+Financing!J103</f>
        <v>122559.79130024226</v>
      </c>
      <c r="K41" s="95">
        <f>J41+K79+Financing!K103</f>
        <v>137057.06143743967</v>
      </c>
      <c r="L41" s="95">
        <f>K41+L79+Financing!L103</f>
        <v>153264.92715907085</v>
      </c>
    </row>
    <row r="42" spans="1:19" x14ac:dyDescent="0.25">
      <c r="A42" s="20" t="s">
        <v>37</v>
      </c>
      <c r="B42" s="93">
        <v>-739</v>
      </c>
      <c r="C42" s="93">
        <v>-671</v>
      </c>
      <c r="D42" s="93">
        <v>-704</v>
      </c>
      <c r="E42" s="93">
        <v>-718</v>
      </c>
      <c r="F42" s="93">
        <v>-477</v>
      </c>
      <c r="G42" s="93">
        <v>-1129</v>
      </c>
      <c r="H42" s="244">
        <v>-1129</v>
      </c>
      <c r="I42" s="244">
        <v>-1129</v>
      </c>
      <c r="J42" s="244">
        <v>-1129</v>
      </c>
      <c r="K42" s="244">
        <v>-1129</v>
      </c>
      <c r="L42" s="244">
        <v>-1129</v>
      </c>
    </row>
    <row r="43" spans="1:19" x14ac:dyDescent="0.25">
      <c r="A43" t="s">
        <v>38</v>
      </c>
      <c r="B43" s="94">
        <v>-65196</v>
      </c>
      <c r="C43" s="94">
        <v>-65793</v>
      </c>
      <c r="D43" s="94">
        <v>-80794</v>
      </c>
      <c r="E43" s="94">
        <v>-87298</v>
      </c>
      <c r="F43" s="94">
        <v>-95372</v>
      </c>
      <c r="G43" s="94">
        <v>-95971</v>
      </c>
      <c r="H43" s="170">
        <f>Financing!H82</f>
        <v>-102171</v>
      </c>
      <c r="I43" s="170">
        <f>Financing!I82</f>
        <v>-108371</v>
      </c>
      <c r="J43" s="170">
        <f>Financing!J82</f>
        <v>-114571</v>
      </c>
      <c r="K43" s="170">
        <f>Financing!K82</f>
        <v>-120771</v>
      </c>
      <c r="L43" s="170">
        <f>Financing!L82</f>
        <v>-126971</v>
      </c>
      <c r="N43" s="79"/>
      <c r="O43" s="79"/>
      <c r="P43" s="79"/>
      <c r="Q43" s="79"/>
      <c r="R43" s="79"/>
      <c r="S43" s="79"/>
    </row>
    <row r="44" spans="1:19" x14ac:dyDescent="0.25">
      <c r="A44" s="8" t="s">
        <v>39</v>
      </c>
      <c r="B44" s="94">
        <f t="shared" ref="B44:L44" si="6">SUM(B39:B43)</f>
        <v>-3116</v>
      </c>
      <c r="C44" s="94">
        <f t="shared" si="6"/>
        <v>3299</v>
      </c>
      <c r="D44" s="94">
        <f t="shared" si="6"/>
        <v>-1696</v>
      </c>
      <c r="E44" s="94">
        <f t="shared" si="6"/>
        <v>1562</v>
      </c>
      <c r="F44" s="94">
        <f t="shared" si="6"/>
        <v>1044</v>
      </c>
      <c r="G44" s="94">
        <f t="shared" si="6"/>
        <v>6640</v>
      </c>
      <c r="H44" s="170">
        <f>SUM(H39:H43)</f>
        <v>10444.92078147555</v>
      </c>
      <c r="I44" s="170">
        <f t="shared" si="6"/>
        <v>15952.877960553189</v>
      </c>
      <c r="J44" s="170">
        <f t="shared" si="6"/>
        <v>23318.009220322943</v>
      </c>
      <c r="K44" s="170">
        <f t="shared" si="6"/>
        <v>32487.292663515982</v>
      </c>
      <c r="L44" s="170">
        <f t="shared" si="6"/>
        <v>43436.654174436815</v>
      </c>
      <c r="P44" s="12"/>
    </row>
    <row r="45" spans="1:19" ht="14.45" customHeight="1" x14ac:dyDescent="0.25">
      <c r="A45" s="8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O45" s="20"/>
      <c r="P45" s="12"/>
    </row>
    <row r="46" spans="1:19" ht="15.75" thickBot="1" x14ac:dyDescent="0.3">
      <c r="A46" s="8" t="s">
        <v>40</v>
      </c>
      <c r="B46" s="142">
        <f t="shared" ref="B46:L46" si="7">B36+B44</f>
        <v>51236</v>
      </c>
      <c r="C46" s="142">
        <f t="shared" si="7"/>
        <v>70581</v>
      </c>
      <c r="D46" s="142">
        <f t="shared" si="7"/>
        <v>71876</v>
      </c>
      <c r="E46" s="142">
        <f t="shared" si="7"/>
        <v>76445</v>
      </c>
      <c r="F46" s="142">
        <f t="shared" si="7"/>
        <v>76530</v>
      </c>
      <c r="G46" s="142">
        <f t="shared" si="7"/>
        <v>96119</v>
      </c>
      <c r="H46" s="172">
        <f>H36+H44</f>
        <v>96660.460139503179</v>
      </c>
      <c r="I46" s="172">
        <f t="shared" si="7"/>
        <v>99371.200473146324</v>
      </c>
      <c r="J46" s="172">
        <f t="shared" si="7"/>
        <v>105174.54343927653</v>
      </c>
      <c r="K46" s="172">
        <f t="shared" si="7"/>
        <v>113992.15645167141</v>
      </c>
      <c r="L46" s="172">
        <f t="shared" si="7"/>
        <v>123553.14748514105</v>
      </c>
      <c r="O46" s="8"/>
      <c r="P46" s="12"/>
    </row>
    <row r="47" spans="1:19" ht="14.45" customHeight="1" thickTop="1" x14ac:dyDescent="0.25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P47" s="12"/>
    </row>
    <row r="48" spans="1:19" ht="15" customHeight="1" x14ac:dyDescent="0.25">
      <c r="B48" s="15" t="str">
        <f t="shared" ref="B48:L48" si="8">IF(B46=B17,"BALANCE","ERROR")</f>
        <v>BALANCE</v>
      </c>
      <c r="C48" s="15" t="str">
        <f t="shared" si="8"/>
        <v>BALANCE</v>
      </c>
      <c r="D48" s="15" t="str">
        <f t="shared" si="8"/>
        <v>BALANCE</v>
      </c>
      <c r="E48" s="15" t="str">
        <f t="shared" si="8"/>
        <v>BALANCE</v>
      </c>
      <c r="F48" s="15" t="str">
        <f t="shared" si="8"/>
        <v>BALANCE</v>
      </c>
      <c r="G48" s="15" t="str">
        <f t="shared" si="8"/>
        <v>BALANCE</v>
      </c>
      <c r="H48" s="15" t="str">
        <f t="shared" si="8"/>
        <v>BALANCE</v>
      </c>
      <c r="I48" s="15" t="str">
        <f t="shared" si="8"/>
        <v>BALANCE</v>
      </c>
      <c r="J48" s="15" t="str">
        <f t="shared" si="8"/>
        <v>BALANCE</v>
      </c>
      <c r="K48" s="15" t="str">
        <f t="shared" si="8"/>
        <v>BALANCE</v>
      </c>
      <c r="L48" s="15" t="str">
        <f t="shared" si="8"/>
        <v>BALANCE</v>
      </c>
    </row>
    <row r="49" spans="1:22" x14ac:dyDescent="0.25">
      <c r="B49" s="15">
        <f t="shared" ref="B49:L49" si="9">B17-B46</f>
        <v>0</v>
      </c>
      <c r="C49" s="15">
        <f t="shared" si="9"/>
        <v>0</v>
      </c>
      <c r="D49" s="15">
        <f t="shared" si="9"/>
        <v>0</v>
      </c>
      <c r="E49" s="15">
        <f t="shared" si="9"/>
        <v>0</v>
      </c>
      <c r="F49" s="15">
        <f t="shared" si="9"/>
        <v>0</v>
      </c>
      <c r="G49" s="15">
        <f t="shared" si="9"/>
        <v>0</v>
      </c>
      <c r="H49" s="224">
        <f t="shared" si="9"/>
        <v>0</v>
      </c>
      <c r="I49" s="224">
        <f t="shared" si="9"/>
        <v>0</v>
      </c>
      <c r="J49" s="224">
        <f t="shared" si="9"/>
        <v>0</v>
      </c>
      <c r="K49" s="224">
        <f t="shared" si="9"/>
        <v>0</v>
      </c>
      <c r="L49" s="224">
        <f t="shared" si="9"/>
        <v>0</v>
      </c>
    </row>
    <row r="50" spans="1:22" x14ac:dyDescent="0.25">
      <c r="I50" s="224">
        <f>I49-H49</f>
        <v>0</v>
      </c>
      <c r="J50" s="224">
        <f t="shared" ref="J50:L50" si="10">J49-I49</f>
        <v>0</v>
      </c>
      <c r="K50" s="224">
        <f t="shared" si="10"/>
        <v>0</v>
      </c>
      <c r="L50" s="224">
        <f t="shared" si="10"/>
        <v>0</v>
      </c>
    </row>
    <row r="52" spans="1:22" x14ac:dyDescent="0.25">
      <c r="A52" s="11" t="s">
        <v>0</v>
      </c>
      <c r="B52" s="293" t="s">
        <v>1</v>
      </c>
      <c r="C52" s="293"/>
      <c r="D52" s="293"/>
      <c r="E52" s="293"/>
      <c r="F52" s="293"/>
      <c r="G52" s="293"/>
      <c r="H52" s="294" t="s">
        <v>2</v>
      </c>
      <c r="I52" s="294"/>
      <c r="J52" s="294"/>
      <c r="K52" s="294"/>
      <c r="L52" s="294"/>
    </row>
    <row r="53" spans="1:22" s="2" customFormat="1" ht="15.75" thickBot="1" x14ac:dyDescent="0.3">
      <c r="A53" s="11" t="s">
        <v>41</v>
      </c>
      <c r="B53" s="136">
        <v>43863</v>
      </c>
      <c r="C53" s="136">
        <v>44227</v>
      </c>
      <c r="D53" s="136">
        <v>44591</v>
      </c>
      <c r="E53" s="136">
        <v>44955</v>
      </c>
      <c r="F53" s="136">
        <v>45319</v>
      </c>
      <c r="G53" s="136">
        <v>45690</v>
      </c>
      <c r="H53" s="171">
        <v>46053</v>
      </c>
      <c r="I53" s="137">
        <v>46418</v>
      </c>
      <c r="J53" s="137">
        <v>46783</v>
      </c>
      <c r="K53" s="137">
        <v>47149</v>
      </c>
      <c r="L53" s="137">
        <v>47514</v>
      </c>
    </row>
    <row r="54" spans="1:22" s="2" customFormat="1" x14ac:dyDescent="0.25">
      <c r="A54" s="3"/>
      <c r="B54" s="14"/>
      <c r="C54" s="14"/>
      <c r="D54" s="14"/>
      <c r="E54" s="14"/>
      <c r="F54" s="14"/>
      <c r="G54" s="14"/>
      <c r="H54" s="19"/>
      <c r="I54" s="19"/>
      <c r="J54" s="19"/>
      <c r="K54" s="19"/>
      <c r="L54" s="19"/>
    </row>
    <row r="55" spans="1:22" x14ac:dyDescent="0.25">
      <c r="A55" t="s">
        <v>42</v>
      </c>
      <c r="B55" s="93">
        <v>110225</v>
      </c>
      <c r="C55" s="93">
        <v>132110</v>
      </c>
      <c r="D55" s="93">
        <v>151157</v>
      </c>
      <c r="E55" s="93">
        <v>157403</v>
      </c>
      <c r="F55" s="93">
        <v>152669</v>
      </c>
      <c r="G55" s="93">
        <v>159514</v>
      </c>
      <c r="H55" s="244">
        <f>Revenue!H6</f>
        <v>171606.5331731</v>
      </c>
      <c r="I55" s="244">
        <f>Revenue!I6</f>
        <v>184622.12321571491</v>
      </c>
      <c r="J55" s="244">
        <f>Revenue!J6</f>
        <v>198631.67198089664</v>
      </c>
      <c r="K55" s="244">
        <f>Revenue!K6</f>
        <v>213711.55816727196</v>
      </c>
      <c r="L55" s="244">
        <f>Revenue!L6</f>
        <v>229944.0625074993</v>
      </c>
      <c r="N55" s="8"/>
    </row>
    <row r="56" spans="1:22" ht="7.9" customHeight="1" x14ac:dyDescent="0.25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</row>
    <row r="57" spans="1:22" x14ac:dyDescent="0.25">
      <c r="A57" t="s">
        <v>43</v>
      </c>
      <c r="B57" s="94">
        <v>72653</v>
      </c>
      <c r="C57" s="94">
        <v>87257</v>
      </c>
      <c r="D57" s="94">
        <v>100325</v>
      </c>
      <c r="E57" s="94">
        <v>104625</v>
      </c>
      <c r="F57" s="94">
        <v>101709</v>
      </c>
      <c r="G57" s="94">
        <v>106206</v>
      </c>
      <c r="H57" s="170">
        <f>Expenses!H7</f>
        <v>113826.61345371723</v>
      </c>
      <c r="I57" s="170">
        <f>Expenses!I7</f>
        <v>122459.8543289837</v>
      </c>
      <c r="J57" s="170">
        <f>Expenses!J7</f>
        <v>131752.38802492875</v>
      </c>
      <c r="K57" s="170">
        <f>Expenses!K7</f>
        <v>141754.87653235148</v>
      </c>
      <c r="L57" s="170">
        <f>Expenses!L7</f>
        <v>152521.89666122428</v>
      </c>
    </row>
    <row r="58" spans="1:22" ht="7.9" customHeight="1" x14ac:dyDescent="0.25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22" x14ac:dyDescent="0.25">
      <c r="A59" s="8" t="s">
        <v>44</v>
      </c>
      <c r="B59" s="93">
        <f t="shared" ref="B59:L59" si="11">B55-B57</f>
        <v>37572</v>
      </c>
      <c r="C59" s="93">
        <f t="shared" si="11"/>
        <v>44853</v>
      </c>
      <c r="D59" s="93">
        <f t="shared" si="11"/>
        <v>50832</v>
      </c>
      <c r="E59" s="93">
        <f t="shared" si="11"/>
        <v>52778</v>
      </c>
      <c r="F59" s="93">
        <f t="shared" si="11"/>
        <v>50960</v>
      </c>
      <c r="G59" s="93">
        <f t="shared" si="11"/>
        <v>53308</v>
      </c>
      <c r="H59" s="95">
        <f t="shared" si="11"/>
        <v>57779.919719382771</v>
      </c>
      <c r="I59" s="95">
        <f t="shared" si="11"/>
        <v>62162.26888673121</v>
      </c>
      <c r="J59" s="95">
        <f t="shared" si="11"/>
        <v>66879.283955967898</v>
      </c>
      <c r="K59" s="95">
        <f t="shared" si="11"/>
        <v>71956.681634920475</v>
      </c>
      <c r="L59" s="95">
        <f t="shared" si="11"/>
        <v>77422.16584627502</v>
      </c>
      <c r="N59" s="8"/>
    </row>
    <row r="60" spans="1:22" ht="7.9" customHeight="1" x14ac:dyDescent="0.25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</row>
    <row r="61" spans="1:22" x14ac:dyDescent="0.25">
      <c r="A61" t="s">
        <v>45</v>
      </c>
      <c r="H61" s="14"/>
      <c r="I61" s="14"/>
      <c r="J61" s="14"/>
      <c r="K61" s="14"/>
      <c r="L61" s="14"/>
      <c r="P61" s="67"/>
    </row>
    <row r="62" spans="1:22" x14ac:dyDescent="0.25">
      <c r="A62" t="s">
        <v>46</v>
      </c>
      <c r="B62" s="93">
        <v>19740</v>
      </c>
      <c r="C62" s="93">
        <v>24447</v>
      </c>
      <c r="D62" s="93">
        <v>25406</v>
      </c>
      <c r="E62" s="93">
        <v>26284</v>
      </c>
      <c r="F62" s="93">
        <v>26598</v>
      </c>
      <c r="G62" s="93">
        <v>28748</v>
      </c>
      <c r="H62" s="244">
        <f>Expenses!H13</f>
        <v>30134.107225196363</v>
      </c>
      <c r="I62" s="244">
        <f>Expenses!I13</f>
        <v>32419.644836679538</v>
      </c>
      <c r="J62" s="244">
        <f>Expenses!J13</f>
        <v>34879.721599845449</v>
      </c>
      <c r="K62" s="244">
        <f>Expenses!K13</f>
        <v>37527.749614172957</v>
      </c>
      <c r="L62" s="244">
        <f>Expenses!L13</f>
        <v>40378.177376316882</v>
      </c>
      <c r="P62" s="67"/>
    </row>
    <row r="63" spans="1:22" x14ac:dyDescent="0.25">
      <c r="A63" t="s">
        <v>47</v>
      </c>
      <c r="B63" s="93">
        <v>1989</v>
      </c>
      <c r="C63" s="93">
        <v>2128</v>
      </c>
      <c r="D63" s="93">
        <v>2386</v>
      </c>
      <c r="E63" s="93">
        <v>2455</v>
      </c>
      <c r="F63" s="93">
        <v>2673</v>
      </c>
      <c r="G63" s="93">
        <v>3034</v>
      </c>
      <c r="H63" s="283">
        <f>-(0.89*'Long Term Asset &amp; Liab'!H24)-'Long Term Asset &amp; Liab'!H104</f>
        <v>3311.1594444444445</v>
      </c>
      <c r="I63" s="283">
        <f>-(0.89*'Long Term Asset &amp; Liab'!I24)-'Long Term Asset &amp; Liab'!I104</f>
        <v>3488.8283204288932</v>
      </c>
      <c r="J63" s="283">
        <f>-(0.89*'Long Term Asset &amp; Liab'!J24)-'Long Term Asset &amp; Liab'!J104</f>
        <v>3671.9789873919767</v>
      </c>
      <c r="K63" s="283">
        <f>-(0.89*'Long Term Asset &amp; Liab'!K24)-'Long Term Asset &amp; Liab'!K104</f>
        <v>3860.6651836333467</v>
      </c>
      <c r="L63" s="283">
        <f>-(0.89*'Long Term Asset &amp; Liab'!L24)-'Long Term Asset &amp; Liab'!L104</f>
        <v>4040.0258983495496</v>
      </c>
      <c r="P63" s="67"/>
      <c r="Q63" s="14"/>
      <c r="R63" s="14"/>
      <c r="S63" s="14"/>
      <c r="T63" s="14"/>
      <c r="U63" s="14"/>
      <c r="V63" s="14"/>
    </row>
    <row r="64" spans="1:22" x14ac:dyDescent="0.25">
      <c r="B64" s="94"/>
      <c r="C64" s="94"/>
      <c r="D64" s="94"/>
      <c r="E64" s="94"/>
      <c r="F64" s="94"/>
      <c r="G64" s="94"/>
      <c r="H64" s="65"/>
      <c r="I64" s="65"/>
      <c r="J64" s="65"/>
      <c r="K64" s="65"/>
      <c r="L64" s="65"/>
      <c r="P64" s="67"/>
      <c r="Q64" s="12"/>
      <c r="R64" s="12"/>
      <c r="S64" s="12"/>
      <c r="T64" s="12"/>
      <c r="U64" s="12"/>
      <c r="V64" s="12"/>
    </row>
    <row r="65" spans="1:22" x14ac:dyDescent="0.25">
      <c r="A65" t="s">
        <v>48</v>
      </c>
      <c r="B65" s="97">
        <f t="shared" ref="B65:G65" si="12">SUM(B62:B64)</f>
        <v>21729</v>
      </c>
      <c r="C65" s="97">
        <f t="shared" si="12"/>
        <v>26575</v>
      </c>
      <c r="D65" s="97">
        <f t="shared" si="12"/>
        <v>27792</v>
      </c>
      <c r="E65" s="97">
        <f t="shared" si="12"/>
        <v>28739</v>
      </c>
      <c r="F65" s="97">
        <f t="shared" si="12"/>
        <v>29271</v>
      </c>
      <c r="G65" s="97">
        <f t="shared" si="12"/>
        <v>31782</v>
      </c>
      <c r="H65" s="198">
        <f>SUM(H62:H64)</f>
        <v>33445.266669640805</v>
      </c>
      <c r="I65" s="198">
        <f t="shared" ref="I65:L65" si="13">SUM(I62:I64)</f>
        <v>35908.473157108434</v>
      </c>
      <c r="J65" s="198">
        <f t="shared" si="13"/>
        <v>38551.700587237428</v>
      </c>
      <c r="K65" s="198">
        <f t="shared" si="13"/>
        <v>41388.414797806305</v>
      </c>
      <c r="L65" s="198">
        <f t="shared" si="13"/>
        <v>44418.203274666434</v>
      </c>
      <c r="P65" s="67"/>
    </row>
    <row r="66" spans="1:22" ht="7.9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</row>
    <row r="67" spans="1:22" x14ac:dyDescent="0.25">
      <c r="A67" s="8" t="s">
        <v>49</v>
      </c>
      <c r="B67" s="93">
        <f t="shared" ref="B67:L67" si="14">B59-B65</f>
        <v>15843</v>
      </c>
      <c r="C67" s="93">
        <f t="shared" si="14"/>
        <v>18278</v>
      </c>
      <c r="D67" s="93">
        <f t="shared" si="14"/>
        <v>23040</v>
      </c>
      <c r="E67" s="93">
        <f t="shared" si="14"/>
        <v>24039</v>
      </c>
      <c r="F67" s="93">
        <f t="shared" si="14"/>
        <v>21689</v>
      </c>
      <c r="G67" s="93">
        <f t="shared" si="14"/>
        <v>21526</v>
      </c>
      <c r="H67" s="95">
        <f>H59-H65</f>
        <v>24334.653049741966</v>
      </c>
      <c r="I67" s="95">
        <f t="shared" si="14"/>
        <v>26253.795729622776</v>
      </c>
      <c r="J67" s="95">
        <f t="shared" si="14"/>
        <v>28327.583368730469</v>
      </c>
      <c r="K67" s="95">
        <f t="shared" si="14"/>
        <v>30568.26683711417</v>
      </c>
      <c r="L67" s="95">
        <f t="shared" si="14"/>
        <v>33003.962571608587</v>
      </c>
      <c r="M67" s="14"/>
      <c r="N67" s="8"/>
      <c r="Q67" s="14"/>
      <c r="R67" s="14"/>
      <c r="S67" s="14"/>
      <c r="T67" s="14"/>
      <c r="U67" s="14"/>
      <c r="V67" s="14"/>
    </row>
    <row r="68" spans="1:22" ht="7.9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</row>
    <row r="69" spans="1:22" ht="15" customHeight="1" x14ac:dyDescent="0.25">
      <c r="A69" t="s">
        <v>50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1:22" x14ac:dyDescent="0.25">
      <c r="A70" t="s">
        <v>51</v>
      </c>
      <c r="B70" s="93">
        <v>-73</v>
      </c>
      <c r="C70" s="93">
        <v>-47</v>
      </c>
      <c r="D70" s="93">
        <v>-44</v>
      </c>
      <c r="E70" s="93">
        <v>-55</v>
      </c>
      <c r="F70" s="93">
        <v>-178</v>
      </c>
      <c r="G70" s="93">
        <v>-201</v>
      </c>
      <c r="H70" s="244">
        <f>Financing!H143</f>
        <v>0</v>
      </c>
      <c r="I70" s="244">
        <f>Financing!I143</f>
        <v>67.55551802477008</v>
      </c>
      <c r="J70" s="244">
        <f>Financing!J143</f>
        <v>100.20594040146329</v>
      </c>
      <c r="K70" s="244">
        <f>Financing!K143</f>
        <v>331.31351419889251</v>
      </c>
      <c r="L70" s="244">
        <f>Financing!L143</f>
        <v>753.37965882600201</v>
      </c>
      <c r="Q70" s="12"/>
      <c r="R70" s="12"/>
      <c r="S70" s="12"/>
      <c r="T70" s="12"/>
      <c r="U70" s="12"/>
      <c r="V70" s="12"/>
    </row>
    <row r="71" spans="1:22" x14ac:dyDescent="0.25">
      <c r="A71" t="s">
        <v>52</v>
      </c>
      <c r="B71" s="93">
        <v>1201</v>
      </c>
      <c r="C71" s="93">
        <v>1347</v>
      </c>
      <c r="D71" s="93">
        <v>1347</v>
      </c>
      <c r="E71" s="93">
        <v>1617</v>
      </c>
      <c r="F71" s="93">
        <v>1943</v>
      </c>
      <c r="G71" s="93">
        <v>2321</v>
      </c>
      <c r="H71" s="244">
        <f>Financing!H29</f>
        <v>2191.6671000000001</v>
      </c>
      <c r="I71" s="244">
        <f>Financing!I29</f>
        <v>2002.4305000000002</v>
      </c>
      <c r="J71" s="244">
        <f>Financing!J29</f>
        <v>1802.3320000000001</v>
      </c>
      <c r="K71" s="244">
        <f>Financing!K29</f>
        <v>1646.6723000000002</v>
      </c>
      <c r="L71" s="244">
        <f>Financing!L29</f>
        <v>1534.0472000000002</v>
      </c>
    </row>
    <row r="72" spans="1:22" x14ac:dyDescent="0.25">
      <c r="B72" s="94"/>
      <c r="C72" s="94"/>
      <c r="D72" s="94"/>
      <c r="E72" s="94"/>
      <c r="F72" s="94"/>
      <c r="G72" s="94"/>
      <c r="H72" s="65"/>
      <c r="I72" s="65"/>
      <c r="J72" s="65"/>
      <c r="K72" s="65"/>
      <c r="L72" s="65"/>
    </row>
    <row r="73" spans="1:22" x14ac:dyDescent="0.25">
      <c r="A73" t="s">
        <v>53</v>
      </c>
      <c r="B73" s="93">
        <f>SUM(B70:B72)</f>
        <v>1128</v>
      </c>
      <c r="C73" s="93">
        <f t="shared" ref="C73:L73" si="15">SUM(C70:C72)</f>
        <v>1300</v>
      </c>
      <c r="D73" s="93">
        <f t="shared" si="15"/>
        <v>1303</v>
      </c>
      <c r="E73" s="93">
        <f t="shared" si="15"/>
        <v>1562</v>
      </c>
      <c r="F73" s="93">
        <f t="shared" si="15"/>
        <v>1765</v>
      </c>
      <c r="G73" s="93">
        <f t="shared" si="15"/>
        <v>2120</v>
      </c>
      <c r="H73" s="95">
        <f t="shared" si="15"/>
        <v>2191.6671000000001</v>
      </c>
      <c r="I73" s="95">
        <f t="shared" si="15"/>
        <v>2069.9860180247701</v>
      </c>
      <c r="J73" s="95">
        <f t="shared" si="15"/>
        <v>1902.5379404014634</v>
      </c>
      <c r="K73" s="95">
        <f t="shared" si="15"/>
        <v>1977.9858141988927</v>
      </c>
      <c r="L73" s="95">
        <f t="shared" si="15"/>
        <v>2287.426858826002</v>
      </c>
    </row>
    <row r="74" spans="1:22" ht="7.9" customHeight="1" x14ac:dyDescent="0.25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</row>
    <row r="75" spans="1:22" x14ac:dyDescent="0.25">
      <c r="A75" s="8" t="s">
        <v>54</v>
      </c>
      <c r="B75" s="93">
        <f>B67-B73</f>
        <v>14715</v>
      </c>
      <c r="C75" s="93">
        <f t="shared" ref="C75:L75" si="16">C67-C73</f>
        <v>16978</v>
      </c>
      <c r="D75" s="93">
        <f t="shared" si="16"/>
        <v>21737</v>
      </c>
      <c r="E75" s="93">
        <f t="shared" si="16"/>
        <v>22477</v>
      </c>
      <c r="F75" s="93">
        <f t="shared" si="16"/>
        <v>19924</v>
      </c>
      <c r="G75" s="93">
        <f t="shared" si="16"/>
        <v>19406</v>
      </c>
      <c r="H75" s="95">
        <f t="shared" si="16"/>
        <v>22142.985949741967</v>
      </c>
      <c r="I75" s="95">
        <f t="shared" si="16"/>
        <v>24183.809711598005</v>
      </c>
      <c r="J75" s="95">
        <f t="shared" si="16"/>
        <v>26425.045428329006</v>
      </c>
      <c r="K75" s="95">
        <f t="shared" si="16"/>
        <v>28590.281022915278</v>
      </c>
      <c r="L75" s="95">
        <f t="shared" si="16"/>
        <v>30716.535712782585</v>
      </c>
      <c r="N75" s="8"/>
    </row>
    <row r="76" spans="1:22" ht="7.9" customHeight="1" x14ac:dyDescent="0.25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spans="1:22" x14ac:dyDescent="0.25">
      <c r="A77" t="s">
        <v>55</v>
      </c>
      <c r="B77" s="94">
        <v>3473</v>
      </c>
      <c r="C77" s="94">
        <v>4112</v>
      </c>
      <c r="D77" s="94">
        <v>5304</v>
      </c>
      <c r="E77" s="94">
        <v>5372</v>
      </c>
      <c r="F77" s="94">
        <v>4781</v>
      </c>
      <c r="G77" s="94">
        <v>4600</v>
      </c>
      <c r="H77" s="170">
        <f>Expenses!H20</f>
        <v>5307.6737321531491</v>
      </c>
      <c r="I77" s="170">
        <f>Expenses!I20</f>
        <v>5796.8591878700418</v>
      </c>
      <c r="J77" s="170">
        <f>Expenses!J20</f>
        <v>6334.0833891704624</v>
      </c>
      <c r="K77" s="170">
        <f>Expenses!K20</f>
        <v>6853.0903611927924</v>
      </c>
      <c r="L77" s="170">
        <f>Expenses!L20</f>
        <v>7362.7536103539851</v>
      </c>
    </row>
    <row r="78" spans="1:22" ht="7.9" customHeight="1" x14ac:dyDescent="0.25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</row>
    <row r="79" spans="1:22" ht="15.75" thickBot="1" x14ac:dyDescent="0.3">
      <c r="A79" s="8" t="s">
        <v>56</v>
      </c>
      <c r="B79" s="142">
        <f>B75-B77</f>
        <v>11242</v>
      </c>
      <c r="C79" s="142">
        <f t="shared" ref="C79:L79" si="17">C75-C77</f>
        <v>12866</v>
      </c>
      <c r="D79" s="142">
        <f t="shared" si="17"/>
        <v>16433</v>
      </c>
      <c r="E79" s="142">
        <f t="shared" si="17"/>
        <v>17105</v>
      </c>
      <c r="F79" s="142">
        <f t="shared" si="17"/>
        <v>15143</v>
      </c>
      <c r="G79" s="142">
        <f t="shared" si="17"/>
        <v>14806</v>
      </c>
      <c r="H79" s="223">
        <f t="shared" si="17"/>
        <v>16835.31221758882</v>
      </c>
      <c r="I79" s="223">
        <f t="shared" si="17"/>
        <v>18386.950523727963</v>
      </c>
      <c r="J79" s="223">
        <f t="shared" si="17"/>
        <v>20090.962039158541</v>
      </c>
      <c r="K79" s="223">
        <f t="shared" si="17"/>
        <v>21737.190661722485</v>
      </c>
      <c r="L79" s="223">
        <f t="shared" si="17"/>
        <v>23353.782102428599</v>
      </c>
      <c r="N79" s="8"/>
    </row>
    <row r="80" spans="1:22" ht="15.75" thickTop="1" x14ac:dyDescent="0.25">
      <c r="O80" s="14"/>
      <c r="P80" s="14"/>
      <c r="Q80" s="14"/>
      <c r="R80" s="14"/>
      <c r="S80" s="14"/>
      <c r="T80" s="14"/>
    </row>
    <row r="81" spans="1:20" x14ac:dyDescent="0.25">
      <c r="H81" s="14"/>
      <c r="I81" s="14"/>
      <c r="J81" s="14"/>
      <c r="K81" s="14"/>
      <c r="L81" s="14"/>
      <c r="O81" s="14"/>
      <c r="P81" s="14"/>
      <c r="Q81" s="14"/>
      <c r="R81" s="14"/>
      <c r="S81" s="14"/>
      <c r="T81" s="14"/>
    </row>
    <row r="82" spans="1:20" x14ac:dyDescent="0.25">
      <c r="O82" s="12"/>
      <c r="P82" s="12"/>
      <c r="Q82" s="12"/>
      <c r="R82" s="12"/>
      <c r="S82" s="12"/>
      <c r="T82" s="12"/>
    </row>
    <row r="83" spans="1:20" x14ac:dyDescent="0.25">
      <c r="A83" s="11" t="s">
        <v>0</v>
      </c>
      <c r="B83" s="293" t="s">
        <v>1</v>
      </c>
      <c r="C83" s="293"/>
      <c r="D83" s="293"/>
      <c r="E83" s="293"/>
      <c r="F83" s="293"/>
      <c r="G83" s="293"/>
      <c r="H83" s="294" t="s">
        <v>2</v>
      </c>
      <c r="I83" s="294"/>
      <c r="J83" s="294"/>
      <c r="K83" s="294"/>
      <c r="L83" s="294"/>
    </row>
    <row r="84" spans="1:20" s="2" customFormat="1" ht="15.75" thickBot="1" x14ac:dyDescent="0.3">
      <c r="A84" s="11" t="s">
        <v>57</v>
      </c>
      <c r="B84" s="136">
        <v>43863</v>
      </c>
      <c r="C84" s="136">
        <v>44227</v>
      </c>
      <c r="D84" s="136">
        <v>44591</v>
      </c>
      <c r="E84" s="136">
        <v>44955</v>
      </c>
      <c r="F84" s="136">
        <v>45319</v>
      </c>
      <c r="G84" s="136">
        <v>45690</v>
      </c>
      <c r="H84" s="171">
        <v>46053</v>
      </c>
      <c r="I84" s="137">
        <v>46418</v>
      </c>
      <c r="J84" s="137">
        <v>46783</v>
      </c>
      <c r="K84" s="137">
        <v>47149</v>
      </c>
      <c r="L84" s="137">
        <v>47514</v>
      </c>
    </row>
    <row r="85" spans="1:20" s="2" customFormat="1" ht="7.5" customHeight="1" x14ac:dyDescent="0.25">
      <c r="A85" s="3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  <row r="86" spans="1:20" s="2" customFormat="1" x14ac:dyDescent="0.25">
      <c r="A86" s="5" t="s">
        <v>58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</row>
    <row r="87" spans="1:20" x14ac:dyDescent="0.25">
      <c r="A87" t="s">
        <v>59</v>
      </c>
      <c r="B87" s="93">
        <f>B79</f>
        <v>11242</v>
      </c>
      <c r="C87" s="93">
        <f t="shared" ref="C87:G87" si="18">C79</f>
        <v>12866</v>
      </c>
      <c r="D87" s="93">
        <f t="shared" si="18"/>
        <v>16433</v>
      </c>
      <c r="E87" s="93">
        <f t="shared" si="18"/>
        <v>17105</v>
      </c>
      <c r="F87" s="93">
        <f t="shared" si="18"/>
        <v>15143</v>
      </c>
      <c r="G87" s="93">
        <f t="shared" si="18"/>
        <v>14806</v>
      </c>
      <c r="H87" s="95">
        <f t="shared" ref="H87:L87" si="19">H79</f>
        <v>16835.31221758882</v>
      </c>
      <c r="I87" s="95">
        <f t="shared" si="19"/>
        <v>18386.950523727963</v>
      </c>
      <c r="J87" s="95">
        <f t="shared" si="19"/>
        <v>20090.962039158541</v>
      </c>
      <c r="K87" s="95">
        <f t="shared" si="19"/>
        <v>21737.190661722485</v>
      </c>
      <c r="L87" s="95">
        <f t="shared" si="19"/>
        <v>23353.782102428599</v>
      </c>
      <c r="N87" s="5"/>
    </row>
    <row r="88" spans="1:20" ht="30" customHeight="1" x14ac:dyDescent="0.25">
      <c r="A88" s="10" t="s">
        <v>60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1:20" x14ac:dyDescent="0.25">
      <c r="A89" t="s">
        <v>47</v>
      </c>
      <c r="B89" s="93">
        <v>2296</v>
      </c>
      <c r="C89" s="93">
        <v>2519</v>
      </c>
      <c r="D89" s="93">
        <v>2862</v>
      </c>
      <c r="E89" s="93">
        <v>2796</v>
      </c>
      <c r="F89" s="93">
        <v>3061</v>
      </c>
      <c r="G89" s="93">
        <v>3336</v>
      </c>
      <c r="H89" s="244">
        <f>-'Long Term Asset &amp; Liab'!H24</f>
        <v>3099.0555555555557</v>
      </c>
      <c r="I89" s="244">
        <f>-'Long Term Asset &amp; Liab'!I24</f>
        <v>3298.6835060998801</v>
      </c>
      <c r="J89" s="244">
        <f>-'Long Term Asset &amp; Liab'!J24</f>
        <v>3513.4595363954795</v>
      </c>
      <c r="K89" s="244">
        <f>-'Long Term Asset &amp; Liab'!K24</f>
        <v>3744.5676220599398</v>
      </c>
      <c r="L89" s="244">
        <f>-'Long Term Asset &amp; Liab'!L24</f>
        <v>3993.2875262354491</v>
      </c>
      <c r="N89" s="14"/>
      <c r="O89" s="14"/>
      <c r="P89" s="14"/>
    </row>
    <row r="90" spans="1:20" x14ac:dyDescent="0.25">
      <c r="A90" t="s">
        <v>61</v>
      </c>
      <c r="B90" s="93"/>
      <c r="C90" s="93"/>
      <c r="D90" s="93"/>
      <c r="E90" s="93">
        <v>179</v>
      </c>
      <c r="F90" s="93">
        <v>186</v>
      </c>
      <c r="G90" s="93">
        <v>425</v>
      </c>
      <c r="H90" s="244">
        <f>-'Long Term Asset &amp; Liab'!H104</f>
        <v>553</v>
      </c>
      <c r="I90" s="244">
        <f>-'Long Term Asset &amp; Liab'!I104</f>
        <v>553</v>
      </c>
      <c r="J90" s="244">
        <f>-'Long Term Asset &amp; Liab'!J104</f>
        <v>545</v>
      </c>
      <c r="K90" s="244">
        <f>-'Long Term Asset &amp; Liab'!K104</f>
        <v>528</v>
      </c>
      <c r="L90" s="244">
        <f>-'Long Term Asset &amp; Liab'!L104</f>
        <v>486</v>
      </c>
    </row>
    <row r="91" spans="1:20" x14ac:dyDescent="0.25">
      <c r="A91" t="s">
        <v>62</v>
      </c>
      <c r="B91" s="98">
        <v>251</v>
      </c>
      <c r="C91" s="98">
        <v>310</v>
      </c>
      <c r="D91" s="98">
        <v>399</v>
      </c>
      <c r="E91" s="98">
        <v>366</v>
      </c>
      <c r="F91" s="98">
        <v>380</v>
      </c>
      <c r="G91" s="98">
        <v>442</v>
      </c>
      <c r="H91" s="244">
        <f>Financing!H56</f>
        <v>425.85642837048442</v>
      </c>
      <c r="I91" s="244">
        <f>Financing!I56</f>
        <v>459.44142526839863</v>
      </c>
      <c r="J91" s="244">
        <f>Financing!J56</f>
        <v>495.73270895278324</v>
      </c>
      <c r="K91" s="244">
        <f>Financing!K56</f>
        <v>534.944669649498</v>
      </c>
      <c r="L91" s="244">
        <f>Financing!L56</f>
        <v>577.56934500315037</v>
      </c>
      <c r="M91" s="14"/>
      <c r="N91" s="14"/>
    </row>
    <row r="92" spans="1:20" x14ac:dyDescent="0.25">
      <c r="A92" t="s">
        <v>63</v>
      </c>
      <c r="B92" s="93">
        <v>184</v>
      </c>
      <c r="C92" s="93">
        <v>121</v>
      </c>
      <c r="D92" s="93">
        <v>196</v>
      </c>
      <c r="E92" s="93">
        <v>271</v>
      </c>
      <c r="F92" s="93">
        <v>314</v>
      </c>
      <c r="G92" s="93">
        <v>107</v>
      </c>
      <c r="H92" s="14"/>
      <c r="I92"/>
      <c r="J92" s="14"/>
      <c r="K92" s="14"/>
      <c r="L92" s="14"/>
    </row>
    <row r="93" spans="1:20" x14ac:dyDescent="0.25">
      <c r="A93" t="s">
        <v>64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</row>
    <row r="94" spans="1:20" x14ac:dyDescent="0.25">
      <c r="A94" t="s">
        <v>65</v>
      </c>
      <c r="B94" s="93">
        <v>-170</v>
      </c>
      <c r="C94" s="93">
        <v>-465</v>
      </c>
      <c r="D94" s="93">
        <v>-435</v>
      </c>
      <c r="E94" s="93">
        <v>111</v>
      </c>
      <c r="F94" s="93">
        <v>134</v>
      </c>
      <c r="G94" s="93">
        <v>174</v>
      </c>
      <c r="H94" s="244">
        <f>-H7+G7</f>
        <v>1146.46246560803</v>
      </c>
      <c r="I94" s="244">
        <f t="shared" ref="I94:L94" si="20">-I7+H7</f>
        <v>-284.91661490546039</v>
      </c>
      <c r="J94" s="244">
        <f t="shared" si="20"/>
        <v>-306.67477981863613</v>
      </c>
      <c r="K94" s="244">
        <f t="shared" si="20"/>
        <v>-330.10490583325736</v>
      </c>
      <c r="L94" s="244">
        <f t="shared" si="20"/>
        <v>-355.33619089977037</v>
      </c>
      <c r="M94" s="14"/>
      <c r="N94" s="14"/>
    </row>
    <row r="95" spans="1:20" x14ac:dyDescent="0.25">
      <c r="A95" s="20" t="s">
        <v>66</v>
      </c>
      <c r="B95" s="93">
        <v>-593</v>
      </c>
      <c r="C95" s="93">
        <v>-1657</v>
      </c>
      <c r="D95" s="93">
        <v>-5403</v>
      </c>
      <c r="E95" s="93">
        <v>-2830</v>
      </c>
      <c r="F95" s="93">
        <v>4137</v>
      </c>
      <c r="G95" s="93">
        <v>-743</v>
      </c>
      <c r="H95" s="244">
        <f>-H8+G8</f>
        <v>173.57393584514648</v>
      </c>
      <c r="I95" s="244">
        <f t="shared" ref="I95:L95" si="21">-I8+H8</f>
        <v>-1765.4889315473338</v>
      </c>
      <c r="J95" s="244">
        <f t="shared" si="21"/>
        <v>-1900.3136392525666</v>
      </c>
      <c r="K95" s="244">
        <f t="shared" si="21"/>
        <v>-2045.4986722745889</v>
      </c>
      <c r="L95" s="244">
        <f t="shared" si="21"/>
        <v>-2201.8446071314538</v>
      </c>
      <c r="M95" s="14"/>
    </row>
    <row r="96" spans="1:20" x14ac:dyDescent="0.25">
      <c r="A96" s="20" t="s">
        <v>67</v>
      </c>
      <c r="B96" s="93">
        <v>-135</v>
      </c>
      <c r="C96" s="93">
        <v>43</v>
      </c>
      <c r="D96" s="93">
        <v>-330</v>
      </c>
      <c r="E96" s="93">
        <v>-311</v>
      </c>
      <c r="F96" s="93">
        <v>-184</v>
      </c>
      <c r="G96" s="93">
        <v>86</v>
      </c>
      <c r="H96" s="244">
        <f>G9-H9</f>
        <v>74.059241490170052</v>
      </c>
      <c r="I96" s="244">
        <f t="shared" ref="I96:L96" si="22">H9-I9</f>
        <v>-121.04498739631845</v>
      </c>
      <c r="J96" s="244">
        <f t="shared" si="22"/>
        <v>-130.28880351619023</v>
      </c>
      <c r="K96" s="244">
        <f t="shared" si="22"/>
        <v>-140.24294153329038</v>
      </c>
      <c r="L96" s="244">
        <f t="shared" si="22"/>
        <v>-150.96229036411432</v>
      </c>
      <c r="M96" s="14"/>
      <c r="N96" s="20"/>
    </row>
    <row r="97" spans="1:17" x14ac:dyDescent="0.25">
      <c r="A97" s="20" t="s">
        <v>68</v>
      </c>
      <c r="B97" s="93"/>
      <c r="C97" s="93"/>
      <c r="D97" s="93"/>
      <c r="E97" s="93"/>
      <c r="F97" s="93"/>
      <c r="G97" s="93"/>
      <c r="H97" s="244">
        <f>G16-H16</f>
        <v>-88.229399278949927</v>
      </c>
      <c r="I97" s="244">
        <f t="shared" ref="I97:L97" si="23">H16-I16</f>
        <v>-58.570155191767071</v>
      </c>
      <c r="J97" s="244">
        <f t="shared" si="23"/>
        <v>-63.042969443317816</v>
      </c>
      <c r="K97" s="244">
        <f t="shared" si="23"/>
        <v>-67.859487838688892</v>
      </c>
      <c r="L97" s="244">
        <f t="shared" si="23"/>
        <v>-73.046269531023086</v>
      </c>
      <c r="M97" s="14"/>
      <c r="N97" s="20"/>
    </row>
    <row r="98" spans="1:17" x14ac:dyDescent="0.25">
      <c r="A98" t="s">
        <v>69</v>
      </c>
      <c r="B98" s="93">
        <v>68</v>
      </c>
      <c r="C98" s="93">
        <v>5118</v>
      </c>
      <c r="D98" s="93">
        <v>2401</v>
      </c>
      <c r="E98" s="93">
        <v>-2577</v>
      </c>
      <c r="F98" s="93">
        <v>-1411</v>
      </c>
      <c r="G98" s="93">
        <v>518</v>
      </c>
      <c r="H98" s="244">
        <f>H22-G22</f>
        <v>923.80575709416917</v>
      </c>
      <c r="I98" s="244">
        <f t="shared" ref="I98:L98" si="24">I22-H22</f>
        <v>975.51059302165959</v>
      </c>
      <c r="J98" s="244">
        <f t="shared" si="24"/>
        <v>1050.0071974564635</v>
      </c>
      <c r="K98" s="244">
        <f t="shared" si="24"/>
        <v>1130.2283391076035</v>
      </c>
      <c r="L98" s="244">
        <f t="shared" si="24"/>
        <v>1216.6163718522075</v>
      </c>
      <c r="M98" s="14"/>
      <c r="N98" s="14"/>
      <c r="O98" s="14"/>
      <c r="P98" s="14"/>
      <c r="Q98" s="14"/>
    </row>
    <row r="99" spans="1:17" x14ac:dyDescent="0.25">
      <c r="A99" t="s">
        <v>70</v>
      </c>
      <c r="B99" s="93"/>
      <c r="C99" s="93"/>
      <c r="D99" s="93"/>
      <c r="E99" s="93"/>
      <c r="F99" s="93"/>
      <c r="G99" s="93"/>
      <c r="H99" s="244">
        <f>H23-G23</f>
        <v>276.29297222044443</v>
      </c>
      <c r="I99" s="244">
        <f t="shared" ref="I99:L99" si="25">I23-H23</f>
        <v>196.53801276149352</v>
      </c>
      <c r="J99" s="244">
        <f t="shared" si="25"/>
        <v>211.54698826399726</v>
      </c>
      <c r="K99" s="244">
        <f t="shared" si="25"/>
        <v>227.70929739150461</v>
      </c>
      <c r="L99" s="244">
        <f t="shared" si="25"/>
        <v>245.1140620383012</v>
      </c>
      <c r="M99" s="14"/>
      <c r="N99" s="14"/>
      <c r="O99" s="14"/>
      <c r="P99" s="14"/>
      <c r="Q99" s="14"/>
    </row>
    <row r="100" spans="1:17" x14ac:dyDescent="0.25">
      <c r="A100" t="s">
        <v>71</v>
      </c>
      <c r="B100" s="93"/>
      <c r="C100" s="93"/>
      <c r="D100" s="93"/>
      <c r="E100" s="93"/>
      <c r="F100" s="93"/>
      <c r="G100" s="93"/>
      <c r="H100" s="244">
        <f>H24-G24</f>
        <v>109.90809264433005</v>
      </c>
      <c r="I100" s="244">
        <f t="shared" ref="I100:L100" si="26">I24-H24</f>
        <v>55.967037183244088</v>
      </c>
      <c r="J100" s="244">
        <f t="shared" si="26"/>
        <v>60.241059690281418</v>
      </c>
      <c r="K100" s="244">
        <f t="shared" si="26"/>
        <v>64.843510601413868</v>
      </c>
      <c r="L100" s="244">
        <f t="shared" si="26"/>
        <v>69.799768662977613</v>
      </c>
      <c r="M100" s="14"/>
      <c r="N100" s="14"/>
      <c r="O100" s="14"/>
      <c r="P100" s="14"/>
      <c r="Q100" s="14"/>
    </row>
    <row r="101" spans="1:17" x14ac:dyDescent="0.25">
      <c r="A101" t="s">
        <v>72</v>
      </c>
      <c r="B101" s="93">
        <v>334</v>
      </c>
      <c r="C101" s="93">
        <v>702</v>
      </c>
      <c r="D101" s="93">
        <v>775</v>
      </c>
      <c r="E101" s="93">
        <v>-526</v>
      </c>
      <c r="F101" s="93">
        <v>-318</v>
      </c>
      <c r="G101" s="93">
        <v>-165</v>
      </c>
      <c r="H101" s="244">
        <f>H25-G25</f>
        <v>787.80935682738027</v>
      </c>
      <c r="I101" s="244">
        <f t="shared" ref="I101:L101" si="27">I25-H25</f>
        <v>257.70868284377502</v>
      </c>
      <c r="J101" s="244">
        <f t="shared" si="27"/>
        <v>277.38906555059839</v>
      </c>
      <c r="K101" s="244">
        <f t="shared" si="27"/>
        <v>298.58174649023158</v>
      </c>
      <c r="L101" s="244">
        <f t="shared" si="27"/>
        <v>321.40358593650126</v>
      </c>
      <c r="M101" s="14"/>
      <c r="N101" s="14"/>
      <c r="O101" s="14"/>
      <c r="P101" s="14"/>
      <c r="Q101" s="14"/>
    </row>
    <row r="102" spans="1:17" x14ac:dyDescent="0.25">
      <c r="A102" t="s">
        <v>73</v>
      </c>
      <c r="B102" s="93">
        <v>44</v>
      </c>
      <c r="C102" s="93">
        <v>-149</v>
      </c>
      <c r="D102" s="93">
        <v>-51</v>
      </c>
      <c r="E102" s="93">
        <v>-107</v>
      </c>
      <c r="F102" s="93">
        <v>-25</v>
      </c>
      <c r="G102" s="93">
        <v>809</v>
      </c>
      <c r="H102" s="244">
        <f>-G26+H26</f>
        <v>-542.20101422443804</v>
      </c>
      <c r="I102" s="244">
        <f t="shared" ref="I102:L102" si="28">-H26+I26</f>
        <v>26.709525882142316</v>
      </c>
      <c r="J102" s="244">
        <f t="shared" si="28"/>
        <v>29.332441391002988</v>
      </c>
      <c r="K102" s="244">
        <f t="shared" si="28"/>
        <v>28.337780672419228</v>
      </c>
      <c r="L102" s="244">
        <f t="shared" si="28"/>
        <v>27.827613404201088</v>
      </c>
      <c r="M102" s="14"/>
      <c r="N102" s="14"/>
      <c r="O102" s="14"/>
      <c r="P102" s="14"/>
      <c r="Q102" s="14"/>
    </row>
    <row r="103" spans="1:17" x14ac:dyDescent="0.25">
      <c r="A103" t="s">
        <v>74</v>
      </c>
      <c r="B103" s="93"/>
      <c r="C103" s="93"/>
      <c r="D103" s="93"/>
      <c r="E103" s="93"/>
      <c r="F103" s="93"/>
      <c r="G103" s="93"/>
      <c r="H103" s="244">
        <f>-G29+H29</f>
        <v>192.80594259674035</v>
      </c>
      <c r="I103" s="244">
        <f t="shared" ref="I103:L103" si="29">-H29+I29</f>
        <v>330.59598708241811</v>
      </c>
      <c r="J103" s="244">
        <f t="shared" si="29"/>
        <v>355.84253863561571</v>
      </c>
      <c r="K103" s="244">
        <f t="shared" si="29"/>
        <v>383.02910913393316</v>
      </c>
      <c r="L103" s="244">
        <f t="shared" si="29"/>
        <v>412.30561024177496</v>
      </c>
      <c r="M103" s="14"/>
      <c r="N103" s="14"/>
      <c r="O103" s="14"/>
      <c r="P103" s="14"/>
      <c r="Q103" s="14"/>
    </row>
    <row r="104" spans="1:17" x14ac:dyDescent="0.25">
      <c r="A104" t="s">
        <v>75</v>
      </c>
      <c r="B104" s="93">
        <v>202</v>
      </c>
      <c r="C104" s="93">
        <v>-569</v>
      </c>
      <c r="D104" s="93">
        <v>-276</v>
      </c>
      <c r="E104" s="93">
        <v>138</v>
      </c>
      <c r="F104" s="93">
        <v>-245</v>
      </c>
      <c r="G104" s="93">
        <v>15</v>
      </c>
      <c r="H104" s="244">
        <f>-G34+H34</f>
        <v>-386.10431994867076</v>
      </c>
      <c r="I104" s="244">
        <f t="shared" ref="I104:L104" si="30">-H34+I34</f>
        <v>0.40855212171823041</v>
      </c>
      <c r="J104" s="244">
        <f t="shared" si="30"/>
        <v>2.9024997591536703</v>
      </c>
      <c r="K104" s="244">
        <f t="shared" si="30"/>
        <v>5.8455726786378364</v>
      </c>
      <c r="L104" s="244">
        <f t="shared" si="30"/>
        <v>9.7121922712672131</v>
      </c>
      <c r="M104" s="14"/>
      <c r="N104" s="14"/>
      <c r="O104" s="14"/>
      <c r="P104" s="14"/>
      <c r="Q104" s="14"/>
    </row>
    <row r="105" spans="1:17" ht="15" customHeight="1" x14ac:dyDescent="0.25">
      <c r="A105" t="s">
        <v>76</v>
      </c>
      <c r="B105" s="94"/>
      <c r="C105" s="94"/>
      <c r="D105" s="94"/>
      <c r="E105" s="94"/>
      <c r="F105" s="94"/>
      <c r="G105" s="94"/>
      <c r="H105" s="170">
        <f>-G35+H35</f>
        <v>-43.777429182330252</v>
      </c>
      <c r="I105" s="170">
        <f t="shared" ref="I105:L105" si="31">-H35+I35</f>
        <v>204.34476366905392</v>
      </c>
      <c r="J105" s="170">
        <f t="shared" si="31"/>
        <v>219.94991561335337</v>
      </c>
      <c r="K105" s="170">
        <f t="shared" si="31"/>
        <v>236.75421312609251</v>
      </c>
      <c r="L105" s="170">
        <f t="shared" si="31"/>
        <v>254.85031814156901</v>
      </c>
      <c r="M105" s="14"/>
      <c r="N105" s="14"/>
      <c r="O105" s="14"/>
      <c r="P105" s="14"/>
      <c r="Q105" s="14"/>
    </row>
    <row r="106" spans="1:17" ht="7.9" customHeight="1" x14ac:dyDescent="0.25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</row>
    <row r="107" spans="1:17" x14ac:dyDescent="0.25">
      <c r="A107" s="8" t="s">
        <v>77</v>
      </c>
      <c r="B107" s="94">
        <f t="shared" ref="B107:L107" si="32">SUM(B87:B106)</f>
        <v>13723</v>
      </c>
      <c r="C107" s="94">
        <f t="shared" si="32"/>
        <v>18839</v>
      </c>
      <c r="D107" s="94">
        <f t="shared" si="32"/>
        <v>16571</v>
      </c>
      <c r="E107" s="94">
        <f t="shared" si="32"/>
        <v>14615</v>
      </c>
      <c r="F107" s="94">
        <f t="shared" si="32"/>
        <v>21172</v>
      </c>
      <c r="G107" s="94">
        <f t="shared" si="32"/>
        <v>19810</v>
      </c>
      <c r="H107" s="100">
        <f t="shared" si="32"/>
        <v>23537.629803206881</v>
      </c>
      <c r="I107" s="100">
        <f t="shared" si="32"/>
        <v>22515.837920620866</v>
      </c>
      <c r="J107" s="100">
        <f t="shared" si="32"/>
        <v>24452.04579883656</v>
      </c>
      <c r="K107" s="100">
        <f t="shared" si="32"/>
        <v>26336.326515153934</v>
      </c>
      <c r="L107" s="100">
        <f t="shared" si="32"/>
        <v>28187.079138289646</v>
      </c>
    </row>
    <row r="108" spans="1:17" ht="7.5" customHeight="1" x14ac:dyDescent="0.25">
      <c r="A108" s="8"/>
      <c r="N108" s="8"/>
    </row>
    <row r="109" spans="1:17" x14ac:dyDescent="0.25">
      <c r="A109" s="5" t="s">
        <v>78</v>
      </c>
      <c r="N109" s="14"/>
    </row>
    <row r="110" spans="1:17" x14ac:dyDescent="0.25">
      <c r="A110" t="s">
        <v>79</v>
      </c>
      <c r="B110" s="93">
        <v>-2678</v>
      </c>
      <c r="C110" s="93">
        <v>-2463</v>
      </c>
      <c r="D110" s="93">
        <v>-2566</v>
      </c>
      <c r="E110" s="93">
        <v>-3119</v>
      </c>
      <c r="F110" s="93">
        <v>-3226</v>
      </c>
      <c r="G110" s="93">
        <v>-3485</v>
      </c>
      <c r="H110" s="244">
        <f>-'Long Term Asset &amp; Liab'!H19</f>
        <v>-3599.303109797836</v>
      </c>
      <c r="I110" s="244">
        <f>-'Long Term Asset &amp; Liab'!I19</f>
        <v>-3871.9685453207967</v>
      </c>
      <c r="J110" s="244">
        <f>-'Long Term Asset &amp; Liab'!J19</f>
        <v>-4165.9455419602964</v>
      </c>
      <c r="K110" s="244">
        <f>-'Long Term Asset &amp; Liab'!K19</f>
        <v>-4482.9582751591706</v>
      </c>
      <c r="L110" s="244">
        <f>-'Long Term Asset &amp; Liab'!L19</f>
        <v>-4824.8746685874503</v>
      </c>
    </row>
    <row r="111" spans="1:17" x14ac:dyDescent="0.25">
      <c r="A111" t="s">
        <v>80</v>
      </c>
      <c r="B111" s="93">
        <v>0</v>
      </c>
      <c r="C111" s="93">
        <v>-7780</v>
      </c>
      <c r="D111" s="93">
        <v>-421</v>
      </c>
      <c r="E111" s="93">
        <v>0</v>
      </c>
      <c r="F111" s="93">
        <v>-1514</v>
      </c>
      <c r="G111" s="93">
        <v>-17644</v>
      </c>
      <c r="H111" s="14"/>
      <c r="I111" s="14"/>
      <c r="J111" s="14"/>
      <c r="K111" s="14"/>
      <c r="L111" s="14"/>
    </row>
    <row r="112" spans="1:17" x14ac:dyDescent="0.25">
      <c r="A112" t="s">
        <v>81</v>
      </c>
      <c r="B112" s="93">
        <v>37</v>
      </c>
      <c r="C112" s="93">
        <v>0</v>
      </c>
      <c r="D112" s="93">
        <v>0</v>
      </c>
      <c r="E112" s="93">
        <v>0</v>
      </c>
      <c r="F112" s="93">
        <v>0</v>
      </c>
      <c r="G112" s="93">
        <v>0</v>
      </c>
      <c r="H112" s="244">
        <f>'Long Term Asset &amp; Liab'!H30</f>
        <v>6</v>
      </c>
      <c r="I112" s="244">
        <f>'Long Term Asset &amp; Liab'!I30</f>
        <v>6</v>
      </c>
      <c r="J112" s="244">
        <f>'Long Term Asset &amp; Liab'!J30</f>
        <v>6</v>
      </c>
      <c r="K112" s="244">
        <f>'Long Term Asset &amp; Liab'!K30</f>
        <v>6</v>
      </c>
      <c r="L112" s="244">
        <f>'Long Term Asset &amp; Liab'!L30</f>
        <v>6</v>
      </c>
    </row>
    <row r="113" spans="1:19" x14ac:dyDescent="0.25">
      <c r="A113" t="s">
        <v>82</v>
      </c>
      <c r="B113" s="93"/>
      <c r="C113" s="93"/>
      <c r="D113" s="93"/>
      <c r="E113" s="93"/>
      <c r="F113" s="93"/>
      <c r="G113" s="93"/>
      <c r="H113" s="244">
        <f>-Financing!H135</f>
        <v>-965.07882892528687</v>
      </c>
      <c r="I113" s="244">
        <f>-Financing!I135</f>
        <v>-466.43460538133149</v>
      </c>
      <c r="J113" s="244">
        <f>-Financing!J135</f>
        <v>-3301.5367685347028</v>
      </c>
      <c r="K113" s="244">
        <f>-Financing!K135</f>
        <v>-6029.5163518158497</v>
      </c>
      <c r="L113" s="244">
        <f>-Financing!L135</f>
        <v>-6440.2145331912616</v>
      </c>
    </row>
    <row r="114" spans="1:19" ht="15" customHeight="1" x14ac:dyDescent="0.25">
      <c r="A114" t="s">
        <v>83</v>
      </c>
      <c r="B114" s="94">
        <v>-12</v>
      </c>
      <c r="C114" s="94">
        <v>73</v>
      </c>
      <c r="D114" s="94">
        <v>18</v>
      </c>
      <c r="E114" s="94">
        <v>-21</v>
      </c>
      <c r="F114" s="94">
        <v>11</v>
      </c>
      <c r="G114" s="94">
        <v>98</v>
      </c>
      <c r="H114" s="170"/>
      <c r="I114" s="170"/>
      <c r="J114" s="170"/>
      <c r="K114" s="170"/>
      <c r="L114" s="170"/>
    </row>
    <row r="115" spans="1:19" ht="7.9" customHeight="1" x14ac:dyDescent="0.25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</row>
    <row r="116" spans="1:19" x14ac:dyDescent="0.25">
      <c r="A116" s="8" t="s">
        <v>84</v>
      </c>
      <c r="B116" s="94">
        <f t="shared" ref="B116:L116" si="33">SUM(B110:B115)</f>
        <v>-2653</v>
      </c>
      <c r="C116" s="94">
        <f t="shared" si="33"/>
        <v>-10170</v>
      </c>
      <c r="D116" s="94">
        <f t="shared" si="33"/>
        <v>-2969</v>
      </c>
      <c r="E116" s="94">
        <f t="shared" si="33"/>
        <v>-3140</v>
      </c>
      <c r="F116" s="94">
        <f t="shared" si="33"/>
        <v>-4729</v>
      </c>
      <c r="G116" s="94">
        <f t="shared" si="33"/>
        <v>-21031</v>
      </c>
      <c r="H116" s="100">
        <f t="shared" si="33"/>
        <v>-4558.3819387231233</v>
      </c>
      <c r="I116" s="100">
        <f t="shared" si="33"/>
        <v>-4332.4031507021282</v>
      </c>
      <c r="J116" s="100">
        <f t="shared" si="33"/>
        <v>-7461.4823104949992</v>
      </c>
      <c r="K116" s="100">
        <f t="shared" si="33"/>
        <v>-10506.474626975021</v>
      </c>
      <c r="L116" s="100">
        <f t="shared" si="33"/>
        <v>-11259.089201778712</v>
      </c>
      <c r="N116" s="8"/>
    </row>
    <row r="117" spans="1:19" ht="7.5" customHeight="1" x14ac:dyDescent="0.25">
      <c r="A117" s="8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N117" s="8"/>
    </row>
    <row r="118" spans="1:19" x14ac:dyDescent="0.25">
      <c r="A118" s="5" t="s">
        <v>85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N118" s="8"/>
    </row>
    <row r="119" spans="1:19" x14ac:dyDescent="0.25">
      <c r="A119" s="7" t="s">
        <v>86</v>
      </c>
      <c r="B119" s="93">
        <v>-365</v>
      </c>
      <c r="C119" s="93">
        <v>-974</v>
      </c>
      <c r="D119" s="93">
        <v>1035</v>
      </c>
      <c r="E119" s="93">
        <v>-1035</v>
      </c>
      <c r="F119" s="93">
        <v>0</v>
      </c>
      <c r="G119" s="93">
        <v>316</v>
      </c>
      <c r="H119" s="14"/>
      <c r="I119" s="14"/>
      <c r="J119" s="14"/>
      <c r="K119" s="14"/>
      <c r="L119" s="14"/>
      <c r="P119" s="12"/>
    </row>
    <row r="120" spans="1:19" x14ac:dyDescent="0.25">
      <c r="A120" s="7" t="s">
        <v>87</v>
      </c>
      <c r="B120" s="93">
        <v>3420</v>
      </c>
      <c r="C120" s="93">
        <v>7933</v>
      </c>
      <c r="D120" s="93">
        <v>2979</v>
      </c>
      <c r="E120" s="93">
        <v>6942</v>
      </c>
      <c r="F120" s="93">
        <v>1995</v>
      </c>
      <c r="G120" s="93">
        <v>10010</v>
      </c>
      <c r="H120" s="14">
        <f>Financing!H17</f>
        <v>0</v>
      </c>
      <c r="I120" s="14">
        <f>Financing!I17</f>
        <v>0</v>
      </c>
      <c r="J120" s="14">
        <f>Financing!J17</f>
        <v>0</v>
      </c>
      <c r="K120" s="14">
        <f>Financing!K17</f>
        <v>0</v>
      </c>
      <c r="L120" s="14">
        <f>Financing!L17</f>
        <v>0</v>
      </c>
      <c r="N120" s="79"/>
      <c r="O120" s="79"/>
      <c r="P120" s="79"/>
      <c r="Q120" s="79"/>
      <c r="R120" s="79"/>
      <c r="S120" s="79"/>
    </row>
    <row r="121" spans="1:19" x14ac:dyDescent="0.25">
      <c r="A121" s="7" t="s">
        <v>88</v>
      </c>
      <c r="B121" s="98">
        <v>-1070</v>
      </c>
      <c r="C121" s="98">
        <v>-2872</v>
      </c>
      <c r="D121" s="98">
        <v>-1532</v>
      </c>
      <c r="E121" s="98">
        <v>-2491</v>
      </c>
      <c r="F121" s="98">
        <v>-1271</v>
      </c>
      <c r="G121" s="98">
        <v>-1536</v>
      </c>
      <c r="H121" s="244">
        <f>Financing!H26</f>
        <v>-4582</v>
      </c>
      <c r="I121" s="244">
        <f>Financing!I26</f>
        <v>-4845</v>
      </c>
      <c r="J121" s="244">
        <f>Financing!J26</f>
        <v>-3769</v>
      </c>
      <c r="K121" s="244">
        <f>Financing!K26</f>
        <v>-2727</v>
      </c>
      <c r="L121" s="244">
        <f>Financing!L26</f>
        <v>-3946</v>
      </c>
      <c r="N121" s="79"/>
      <c r="O121" s="79"/>
      <c r="P121" s="79"/>
      <c r="Q121" s="79"/>
      <c r="R121" s="79"/>
      <c r="S121" s="79"/>
    </row>
    <row r="122" spans="1:19" x14ac:dyDescent="0.25">
      <c r="A122" s="7" t="s">
        <v>89</v>
      </c>
      <c r="B122" s="98">
        <v>-6965</v>
      </c>
      <c r="C122" s="98">
        <v>-791</v>
      </c>
      <c r="D122" s="98">
        <v>-14809</v>
      </c>
      <c r="E122" s="98">
        <v>-6696</v>
      </c>
      <c r="F122" s="98">
        <v>-7951</v>
      </c>
      <c r="G122" s="98">
        <v>-649</v>
      </c>
      <c r="H122" s="244">
        <f>Financing!H81</f>
        <v>-6200</v>
      </c>
      <c r="I122" s="244">
        <f>Financing!I81</f>
        <v>-6200</v>
      </c>
      <c r="J122" s="244">
        <f>Financing!J81</f>
        <v>-6200</v>
      </c>
      <c r="K122" s="244">
        <f>Financing!K81</f>
        <v>-6200</v>
      </c>
      <c r="L122" s="244">
        <f>Financing!L81</f>
        <v>-6200</v>
      </c>
      <c r="N122" s="7"/>
    </row>
    <row r="123" spans="1:19" x14ac:dyDescent="0.25">
      <c r="A123" s="7" t="s">
        <v>90</v>
      </c>
      <c r="B123" s="98">
        <v>280</v>
      </c>
      <c r="C123" s="98">
        <v>326</v>
      </c>
      <c r="D123" s="98">
        <v>337</v>
      </c>
      <c r="E123" s="98">
        <v>264</v>
      </c>
      <c r="F123" s="98">
        <v>323</v>
      </c>
      <c r="G123" s="98">
        <v>395</v>
      </c>
      <c r="H123" s="244">
        <f>Financing!H55</f>
        <v>268.3321355162422</v>
      </c>
      <c r="I123" s="244">
        <f>Financing!I55</f>
        <v>289.49404206161796</v>
      </c>
      <c r="J123" s="244">
        <f>Financing!J55</f>
        <v>312.36117991114872</v>
      </c>
      <c r="K123" s="244">
        <f>Financing!K55</f>
        <v>337.06863634614871</v>
      </c>
      <c r="L123" s="244">
        <f>Financing!L55</f>
        <v>363.92644428648504</v>
      </c>
      <c r="N123" s="7"/>
    </row>
    <row r="124" spans="1:19" x14ac:dyDescent="0.25">
      <c r="A124" t="s">
        <v>91</v>
      </c>
      <c r="B124" s="93">
        <v>-5958</v>
      </c>
      <c r="C124" s="93">
        <v>-6451</v>
      </c>
      <c r="D124" s="93">
        <v>-6985</v>
      </c>
      <c r="E124" s="93">
        <v>-7789</v>
      </c>
      <c r="F124" s="93">
        <v>-8383</v>
      </c>
      <c r="G124" s="93">
        <v>-8929</v>
      </c>
      <c r="H124" s="244">
        <f>Financing!H103</f>
        <v>-7524.58</v>
      </c>
      <c r="I124" s="244">
        <f>Financing!I103</f>
        <v>-7427.9288119803559</v>
      </c>
      <c r="J124" s="244">
        <f>Financing!J103</f>
        <v>-7333.92466825271</v>
      </c>
      <c r="K124" s="244">
        <f>Financing!K103</f>
        <v>-7239.920524525065</v>
      </c>
      <c r="L124" s="244">
        <f>Financing!L103</f>
        <v>-7145.9163807974201</v>
      </c>
      <c r="N124" s="7"/>
    </row>
    <row r="125" spans="1:19" x14ac:dyDescent="0.25">
      <c r="A125" s="20" t="s">
        <v>83</v>
      </c>
      <c r="B125" s="94">
        <v>-176</v>
      </c>
      <c r="C125" s="94">
        <v>-154</v>
      </c>
      <c r="D125" s="94">
        <v>-145</v>
      </c>
      <c r="E125" s="94">
        <v>-188</v>
      </c>
      <c r="F125" s="94">
        <v>-156</v>
      </c>
      <c r="G125" s="94">
        <v>-301</v>
      </c>
      <c r="H125" s="65"/>
      <c r="I125" s="65"/>
      <c r="J125" s="65"/>
      <c r="K125" s="65"/>
      <c r="L125" s="65"/>
      <c r="N125" s="20"/>
    </row>
    <row r="126" spans="1:19" ht="7.9" customHeight="1" x14ac:dyDescent="0.25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N126" s="20"/>
    </row>
    <row r="127" spans="1:19" x14ac:dyDescent="0.25">
      <c r="A127" s="8" t="s">
        <v>92</v>
      </c>
      <c r="B127" s="94">
        <f t="shared" ref="B127:L127" si="34">SUM(B119:B126)</f>
        <v>-10834</v>
      </c>
      <c r="C127" s="94">
        <f t="shared" si="34"/>
        <v>-2983</v>
      </c>
      <c r="D127" s="94">
        <f t="shared" si="34"/>
        <v>-19120</v>
      </c>
      <c r="E127" s="94">
        <f t="shared" si="34"/>
        <v>-10993</v>
      </c>
      <c r="F127" s="94">
        <f t="shared" si="34"/>
        <v>-15443</v>
      </c>
      <c r="G127" s="94">
        <f t="shared" si="34"/>
        <v>-694</v>
      </c>
      <c r="H127" s="100">
        <f t="shared" si="34"/>
        <v>-18038.247864483757</v>
      </c>
      <c r="I127" s="100">
        <f t="shared" si="34"/>
        <v>-18183.434769918738</v>
      </c>
      <c r="J127" s="100">
        <f t="shared" si="34"/>
        <v>-16990.563488341562</v>
      </c>
      <c r="K127" s="100">
        <f t="shared" si="34"/>
        <v>-15829.851888178917</v>
      </c>
      <c r="L127" s="100">
        <f t="shared" si="34"/>
        <v>-16927.989936510938</v>
      </c>
    </row>
    <row r="128" spans="1:19" ht="8.25" customHeight="1" x14ac:dyDescent="0.25">
      <c r="A128" s="8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N128" s="8"/>
    </row>
    <row r="129" spans="1:14" ht="15" customHeight="1" x14ac:dyDescent="0.25">
      <c r="A129" t="s">
        <v>93</v>
      </c>
      <c r="B129" s="93">
        <f t="shared" ref="B129:L129" si="35">B107+B116+B127</f>
        <v>236</v>
      </c>
      <c r="C129" s="93">
        <f t="shared" si="35"/>
        <v>5686</v>
      </c>
      <c r="D129" s="93">
        <f t="shared" si="35"/>
        <v>-5518</v>
      </c>
      <c r="E129" s="93">
        <f t="shared" si="35"/>
        <v>482</v>
      </c>
      <c r="F129" s="93">
        <f t="shared" si="35"/>
        <v>1000</v>
      </c>
      <c r="G129" s="93">
        <f t="shared" si="35"/>
        <v>-1915</v>
      </c>
      <c r="H129" s="95">
        <f t="shared" si="35"/>
        <v>941</v>
      </c>
      <c r="I129" s="95">
        <f t="shared" si="35"/>
        <v>0</v>
      </c>
      <c r="J129" s="95">
        <f t="shared" si="35"/>
        <v>0</v>
      </c>
      <c r="K129" s="95">
        <f t="shared" si="35"/>
        <v>0</v>
      </c>
      <c r="L129" s="95">
        <f t="shared" si="35"/>
        <v>0</v>
      </c>
      <c r="N129" s="8"/>
    </row>
    <row r="130" spans="1:14" ht="8.25" customHeight="1" x14ac:dyDescent="0.25">
      <c r="A130" s="8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N130" s="8"/>
    </row>
    <row r="131" spans="1:14" x14ac:dyDescent="0.25">
      <c r="A131" t="s">
        <v>94</v>
      </c>
      <c r="B131" s="93">
        <v>119</v>
      </c>
      <c r="C131" s="93">
        <v>76</v>
      </c>
      <c r="D131" s="93">
        <v>-34</v>
      </c>
      <c r="E131" s="93">
        <v>-68</v>
      </c>
      <c r="F131" s="93">
        <v>3</v>
      </c>
      <c r="G131" s="93">
        <v>-186</v>
      </c>
      <c r="H131" s="95"/>
      <c r="I131" s="95"/>
      <c r="J131" s="95"/>
      <c r="K131" s="95"/>
      <c r="L131" s="95"/>
      <c r="N131" s="8"/>
    </row>
    <row r="132" spans="1:14" ht="7.5" customHeight="1" x14ac:dyDescent="0.25"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</row>
    <row r="133" spans="1:14" ht="15" customHeight="1" x14ac:dyDescent="0.25">
      <c r="A133" t="s">
        <v>95</v>
      </c>
      <c r="B133" s="94">
        <v>1778</v>
      </c>
      <c r="C133" s="94">
        <f>B134</f>
        <v>2133</v>
      </c>
      <c r="D133" s="94">
        <f t="shared" ref="D133:L133" si="36">C134</f>
        <v>7895</v>
      </c>
      <c r="E133" s="94">
        <f t="shared" si="36"/>
        <v>2343</v>
      </c>
      <c r="F133" s="94">
        <f t="shared" si="36"/>
        <v>2757</v>
      </c>
      <c r="G133" s="94">
        <f t="shared" si="36"/>
        <v>3760</v>
      </c>
      <c r="H133" s="100">
        <f t="shared" si="36"/>
        <v>1659</v>
      </c>
      <c r="I133" s="100">
        <f t="shared" si="36"/>
        <v>2600</v>
      </c>
      <c r="J133" s="100">
        <f t="shared" si="36"/>
        <v>2600</v>
      </c>
      <c r="K133" s="100">
        <f t="shared" si="36"/>
        <v>2600</v>
      </c>
      <c r="L133" s="100">
        <f t="shared" si="36"/>
        <v>2600</v>
      </c>
    </row>
    <row r="134" spans="1:14" ht="15.75" thickBot="1" x14ac:dyDescent="0.3">
      <c r="A134" t="s">
        <v>96</v>
      </c>
      <c r="B134" s="96">
        <f>SUM(B129:B133)</f>
        <v>2133</v>
      </c>
      <c r="C134" s="96">
        <f t="shared" ref="C134:L134" si="37">SUM(C129:C133)</f>
        <v>7895</v>
      </c>
      <c r="D134" s="96">
        <f t="shared" si="37"/>
        <v>2343</v>
      </c>
      <c r="E134" s="96">
        <f t="shared" si="37"/>
        <v>2757</v>
      </c>
      <c r="F134" s="96">
        <f t="shared" si="37"/>
        <v>3760</v>
      </c>
      <c r="G134" s="96">
        <f t="shared" si="37"/>
        <v>1659</v>
      </c>
      <c r="H134" s="99">
        <f t="shared" si="37"/>
        <v>2600</v>
      </c>
      <c r="I134" s="99">
        <f t="shared" si="37"/>
        <v>2600</v>
      </c>
      <c r="J134" s="99">
        <f t="shared" si="37"/>
        <v>2600</v>
      </c>
      <c r="K134" s="99">
        <f t="shared" si="37"/>
        <v>2600</v>
      </c>
      <c r="L134" s="99">
        <f t="shared" si="37"/>
        <v>2600</v>
      </c>
    </row>
    <row r="135" spans="1:14" ht="15.75" thickTop="1" x14ac:dyDescent="0.25"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</row>
    <row r="136" spans="1:14" x14ac:dyDescent="0.25"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</row>
    <row r="137" spans="1:14" x14ac:dyDescent="0.25">
      <c r="B137" s="12"/>
      <c r="C137" s="12"/>
      <c r="D137" s="12"/>
      <c r="E137" s="12"/>
      <c r="F137" s="12"/>
      <c r="G137" s="12"/>
      <c r="H137" s="14"/>
      <c r="I137" s="14"/>
      <c r="J137" s="14"/>
      <c r="K137" s="14"/>
      <c r="L137" s="14"/>
    </row>
    <row r="138" spans="1:14" x14ac:dyDescent="0.25"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</row>
    <row r="139" spans="1:14" x14ac:dyDescent="0.25"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</row>
    <row r="140" spans="1:14" x14ac:dyDescent="0.25"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</row>
    <row r="141" spans="1:14" x14ac:dyDescent="0.25"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</row>
    <row r="143" spans="1:14" x14ac:dyDescent="0.25">
      <c r="B143" s="14"/>
      <c r="C143" s="14"/>
      <c r="D143" s="14"/>
      <c r="E143" s="14"/>
      <c r="F143" s="14"/>
      <c r="G143" s="14"/>
    </row>
    <row r="145" spans="2:7" x14ac:dyDescent="0.25">
      <c r="B145" s="12"/>
      <c r="C145" s="12"/>
      <c r="D145" s="12"/>
      <c r="E145" s="12"/>
      <c r="F145" s="12"/>
      <c r="G145" s="12"/>
    </row>
    <row r="149" spans="2:7" x14ac:dyDescent="0.25">
      <c r="B149" s="78"/>
      <c r="C149" s="78"/>
      <c r="D149" s="78"/>
      <c r="E149" s="78"/>
      <c r="F149" s="78"/>
      <c r="G149" s="78"/>
    </row>
  </sheetData>
  <mergeCells count="6">
    <mergeCell ref="B1:G1"/>
    <mergeCell ref="H1:L1"/>
    <mergeCell ref="B52:G52"/>
    <mergeCell ref="H52:L52"/>
    <mergeCell ref="B83:G83"/>
    <mergeCell ref="H83:L83"/>
  </mergeCells>
  <conditionalFormatting sqref="B49:L49">
    <cfRule type="cellIs" dxfId="0" priority="1" operator="notEqual">
      <formula>0</formula>
    </cfRule>
  </conditionalFormatting>
  <pageMargins left="0.3" right="0.3" top="0.2" bottom="0.2" header="0.01" footer="0"/>
  <pageSetup scale="76" fitToHeight="0" orientation="landscape" r:id="rId1"/>
  <rowBreaks count="2" manualBreakCount="2">
    <brk id="49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75"/>
  <sheetViews>
    <sheetView zoomScale="110" zoomScaleNormal="100" workbookViewId="0">
      <pane xSplit="1" ySplit="2" topLeftCell="B66" activePane="bottomRight" state="frozen"/>
      <selection pane="topRight" activeCell="B1" sqref="B1"/>
      <selection pane="bottomLeft" activeCell="A3" sqref="A3"/>
      <selection pane="bottomRight" activeCell="M53" sqref="M53"/>
    </sheetView>
  </sheetViews>
  <sheetFormatPr defaultRowHeight="15" x14ac:dyDescent="0.25"/>
  <cols>
    <col min="1" max="1" width="37.28515625" customWidth="1"/>
    <col min="2" max="8" width="11.28515625" style="1" bestFit="1" customWidth="1"/>
    <col min="9" max="12" width="9.7109375" style="1" customWidth="1"/>
  </cols>
  <sheetData>
    <row r="1" spans="1:15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5" s="2" customFormat="1" ht="15.75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5" s="2" customFormat="1" ht="15.75" thickBot="1" x14ac:dyDescent="0.3">
      <c r="A3" s="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5" s="2" customFormat="1" x14ac:dyDescent="0.25">
      <c r="A4" s="126" t="s">
        <v>98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220"/>
    </row>
    <row r="5" spans="1:15" s="2" customFormat="1" x14ac:dyDescent="0.25">
      <c r="A5" s="173"/>
      <c r="B5" s="14"/>
      <c r="C5" s="14"/>
      <c r="D5" s="14"/>
      <c r="E5" s="14"/>
      <c r="F5" s="14"/>
      <c r="G5" s="14"/>
      <c r="H5" s="14"/>
      <c r="I5" s="14"/>
      <c r="J5" s="14"/>
      <c r="K5" s="14"/>
      <c r="L5" s="89"/>
    </row>
    <row r="6" spans="1:15" s="2" customFormat="1" x14ac:dyDescent="0.25">
      <c r="A6" s="173" t="s">
        <v>42</v>
      </c>
      <c r="B6" s="180">
        <f>Financials!B55</f>
        <v>110225</v>
      </c>
      <c r="C6" s="180">
        <f>Financials!C55</f>
        <v>132110</v>
      </c>
      <c r="D6" s="180">
        <f>Financials!D55</f>
        <v>151157</v>
      </c>
      <c r="E6" s="180">
        <f>Financials!E55</f>
        <v>157403</v>
      </c>
      <c r="F6" s="180">
        <f>Financials!F55</f>
        <v>152669</v>
      </c>
      <c r="G6" s="180">
        <f>Financials!G55</f>
        <v>159514</v>
      </c>
      <c r="H6" s="95">
        <f>AVERAGE(H13,H26,H44,H77)</f>
        <v>171606.5331731</v>
      </c>
      <c r="I6" s="95">
        <f>AVERAGE(I13,I26,I44,I77)</f>
        <v>184622.12321571491</v>
      </c>
      <c r="J6" s="95">
        <f>AVERAGE(J13,J26,J44,J77)</f>
        <v>198631.67198089664</v>
      </c>
      <c r="K6" s="95">
        <f>AVERAGE(K13,K26,K44,K77)</f>
        <v>213711.55816727196</v>
      </c>
      <c r="L6" s="103">
        <f>AVERAGE(L13,L26,L44,L77)</f>
        <v>229944.0625074993</v>
      </c>
    </row>
    <row r="7" spans="1:15" s="2" customFormat="1" ht="15.75" thickBot="1" x14ac:dyDescent="0.3">
      <c r="A7" s="221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8"/>
    </row>
    <row r="8" spans="1:15" s="2" customFormat="1" x14ac:dyDescent="0.25">
      <c r="A8" s="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5" s="2" customFormat="1" x14ac:dyDescent="0.25">
      <c r="A9" s="7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5" s="2" customFormat="1" ht="15.75" thickBot="1" x14ac:dyDescent="0.3">
      <c r="A10" s="13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5" s="2" customFormat="1" x14ac:dyDescent="0.25">
      <c r="A11" s="62" t="s">
        <v>99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6"/>
    </row>
    <row r="12" spans="1:15" ht="15" customHeight="1" x14ac:dyDescent="0.25">
      <c r="A12" s="35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50"/>
      <c r="M12" s="12"/>
      <c r="N12" s="12"/>
    </row>
    <row r="13" spans="1:15" s="2" customFormat="1" x14ac:dyDescent="0.25">
      <c r="A13" s="141" t="s">
        <v>100</v>
      </c>
      <c r="B13" s="93">
        <f>Financials!B55</f>
        <v>110225</v>
      </c>
      <c r="C13" s="93">
        <f>Financials!C55</f>
        <v>132110</v>
      </c>
      <c r="D13" s="93">
        <f>Financials!D55</f>
        <v>151157</v>
      </c>
      <c r="E13" s="93">
        <f>Financials!E55</f>
        <v>157403</v>
      </c>
      <c r="F13" s="93">
        <f>Financials!F55</f>
        <v>152669</v>
      </c>
      <c r="G13" s="93">
        <f>Financials!G55</f>
        <v>159514</v>
      </c>
      <c r="H13" s="244">
        <f>G13*(1+H15)</f>
        <v>172275.12000000002</v>
      </c>
      <c r="I13" s="244">
        <f t="shared" ref="I13:L13" si="0">H13*(1+I15)</f>
        <v>186057.12960000004</v>
      </c>
      <c r="J13" s="244">
        <f t="shared" si="0"/>
        <v>200941.69996800006</v>
      </c>
      <c r="K13" s="244">
        <f t="shared" si="0"/>
        <v>217017.03596544007</v>
      </c>
      <c r="L13" s="249">
        <f t="shared" si="0"/>
        <v>234378.39884267529</v>
      </c>
      <c r="O13" s="2" t="s">
        <v>101</v>
      </c>
    </row>
    <row r="14" spans="1:15" ht="15" customHeight="1" x14ac:dyDescent="0.25">
      <c r="A14" s="35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50"/>
      <c r="M14" s="12"/>
      <c r="N14" s="12"/>
    </row>
    <row r="15" spans="1:15" ht="15" customHeight="1" x14ac:dyDescent="0.25">
      <c r="A15" s="35" t="s">
        <v>102</v>
      </c>
      <c r="B15" s="12"/>
      <c r="C15" s="125">
        <f>(C13-B13)/B13</f>
        <v>0.19854842367883874</v>
      </c>
      <c r="D15" s="125">
        <f t="shared" ref="D15:G15" si="1">(D13-C13)/C13</f>
        <v>0.14417530845507531</v>
      </c>
      <c r="E15" s="125">
        <f t="shared" si="1"/>
        <v>4.1321275230389594E-2</v>
      </c>
      <c r="F15" s="125">
        <f t="shared" si="1"/>
        <v>-3.007566564804991E-2</v>
      </c>
      <c r="G15" s="125">
        <f t="shared" si="1"/>
        <v>4.4835559281845037E-2</v>
      </c>
      <c r="H15" s="245">
        <v>0.08</v>
      </c>
      <c r="I15" s="245">
        <v>0.08</v>
      </c>
      <c r="J15" s="245">
        <v>0.08</v>
      </c>
      <c r="K15" s="245">
        <v>0.08</v>
      </c>
      <c r="L15" s="250">
        <v>0.08</v>
      </c>
      <c r="M15" s="12"/>
      <c r="N15" s="12"/>
    </row>
    <row r="16" spans="1:15" ht="15" customHeight="1" thickBot="1" x14ac:dyDescent="0.3">
      <c r="A16" s="36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12"/>
      <c r="N16" s="12"/>
    </row>
    <row r="17" spans="1:14" ht="15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5" customHeight="1" thickBot="1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ht="15" customHeight="1" x14ac:dyDescent="0.25">
      <c r="A19" s="62" t="s">
        <v>103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5"/>
      <c r="M19" s="12"/>
      <c r="N19" s="12"/>
    </row>
    <row r="20" spans="1:14" ht="15" customHeight="1" x14ac:dyDescent="0.25">
      <c r="A20" s="35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50"/>
      <c r="M20" s="12"/>
      <c r="N20" s="12"/>
    </row>
    <row r="21" spans="1:14" ht="15" customHeight="1" x14ac:dyDescent="0.25">
      <c r="A21" s="88" t="s">
        <v>104</v>
      </c>
      <c r="B21" s="14"/>
      <c r="C21" s="14"/>
      <c r="D21" s="14"/>
      <c r="E21" s="14"/>
      <c r="F21" s="14"/>
      <c r="G21" s="12"/>
      <c r="H21" s="12"/>
      <c r="I21" s="12"/>
      <c r="J21" s="12"/>
      <c r="K21" s="12"/>
      <c r="L21" s="50"/>
      <c r="M21" s="12"/>
      <c r="N21" s="12"/>
    </row>
    <row r="22" spans="1:14" ht="15" customHeight="1" x14ac:dyDescent="0.25">
      <c r="A22" s="173" t="s">
        <v>105</v>
      </c>
      <c r="B22" s="93">
        <v>39337</v>
      </c>
      <c r="C22" s="93">
        <v>46521</v>
      </c>
      <c r="D22" s="93">
        <v>54990</v>
      </c>
      <c r="E22" s="93">
        <v>54572</v>
      </c>
      <c r="F22" s="93">
        <v>52661</v>
      </c>
      <c r="G22" s="93">
        <v>52756</v>
      </c>
      <c r="H22" s="251">
        <f>G22*(1+H29)</f>
        <v>56174.588799999998</v>
      </c>
      <c r="I22" s="251">
        <f t="shared" ref="I22:L22" si="2">H22*(1+I29)</f>
        <v>59814.702154239996</v>
      </c>
      <c r="J22" s="251">
        <f t="shared" si="2"/>
        <v>63690.69485383475</v>
      </c>
      <c r="K22" s="251">
        <f t="shared" si="2"/>
        <v>67817.851880363232</v>
      </c>
      <c r="L22" s="252">
        <f t="shared" si="2"/>
        <v>72212.448682210772</v>
      </c>
      <c r="M22" s="12"/>
      <c r="N22" s="12"/>
    </row>
    <row r="23" spans="1:14" ht="15" customHeight="1" x14ac:dyDescent="0.25">
      <c r="A23" s="173" t="s">
        <v>106</v>
      </c>
      <c r="B23" s="93">
        <v>37386</v>
      </c>
      <c r="C23" s="93">
        <v>43415</v>
      </c>
      <c r="D23" s="93">
        <v>50437</v>
      </c>
      <c r="E23" s="93">
        <v>54442</v>
      </c>
      <c r="F23" s="93">
        <v>51945</v>
      </c>
      <c r="G23" s="93">
        <v>51790</v>
      </c>
      <c r="H23" s="251">
        <f t="shared" ref="H23:L25" si="3">G23*(1+H30)</f>
        <v>55451.553</v>
      </c>
      <c r="I23" s="251">
        <f t="shared" si="3"/>
        <v>59371.9777971</v>
      </c>
      <c r="J23" s="251">
        <f>I23*(1+J30)</f>
        <v>63569.576627354967</v>
      </c>
      <c r="K23" s="251">
        <f t="shared" si="3"/>
        <v>68063.945694908965</v>
      </c>
      <c r="L23" s="252">
        <f t="shared" si="3"/>
        <v>72876.066655539034</v>
      </c>
      <c r="M23" s="12"/>
      <c r="N23" s="12"/>
    </row>
    <row r="24" spans="1:14" ht="15" customHeight="1" x14ac:dyDescent="0.25">
      <c r="A24" s="173" t="s">
        <v>107</v>
      </c>
      <c r="B24" s="93">
        <v>33502</v>
      </c>
      <c r="C24" s="93">
        <v>42174</v>
      </c>
      <c r="D24" s="93">
        <v>45730</v>
      </c>
      <c r="E24" s="93">
        <v>48389</v>
      </c>
      <c r="F24" s="93">
        <v>48063</v>
      </c>
      <c r="G24" s="93">
        <v>48562</v>
      </c>
      <c r="H24" s="251">
        <f t="shared" si="3"/>
        <v>52495.521999999997</v>
      </c>
      <c r="I24" s="251">
        <f t="shared" si="3"/>
        <v>56747.659281999993</v>
      </c>
      <c r="J24" s="251">
        <f t="shared" si="3"/>
        <v>61344.219683841991</v>
      </c>
      <c r="K24" s="251">
        <f t="shared" si="3"/>
        <v>66313.101478233191</v>
      </c>
      <c r="L24" s="252">
        <f t="shared" si="3"/>
        <v>71684.462697970084</v>
      </c>
      <c r="M24" s="12"/>
      <c r="N24" s="12"/>
    </row>
    <row r="25" spans="1:14" ht="15" customHeight="1" x14ac:dyDescent="0.25">
      <c r="A25" s="173" t="s">
        <v>83</v>
      </c>
      <c r="B25" s="93"/>
      <c r="C25" s="93"/>
      <c r="D25" s="93"/>
      <c r="E25" s="93"/>
      <c r="F25" s="93"/>
      <c r="G25" s="93">
        <v>6406</v>
      </c>
      <c r="H25" s="251">
        <f>G25*(1+H32)</f>
        <v>6918.4800000000005</v>
      </c>
      <c r="I25" s="251">
        <f t="shared" si="3"/>
        <v>7471.9584000000013</v>
      </c>
      <c r="J25" s="251">
        <f t="shared" si="3"/>
        <v>8069.7150720000018</v>
      </c>
      <c r="K25" s="251">
        <f t="shared" si="3"/>
        <v>8715.2922777600033</v>
      </c>
      <c r="L25" s="252">
        <f t="shared" si="3"/>
        <v>9412.5156599808051</v>
      </c>
      <c r="M25" s="12"/>
      <c r="N25" s="12"/>
    </row>
    <row r="26" spans="1:14" ht="15" customHeight="1" thickBot="1" x14ac:dyDescent="0.3">
      <c r="A26" s="35"/>
      <c r="B26" s="96">
        <f>SUM(B22:B25)</f>
        <v>110225</v>
      </c>
      <c r="C26" s="96">
        <f t="shared" ref="C26:G26" si="4">SUM(C22:C25)</f>
        <v>132110</v>
      </c>
      <c r="D26" s="96">
        <f t="shared" si="4"/>
        <v>151157</v>
      </c>
      <c r="E26" s="96">
        <f t="shared" si="4"/>
        <v>157403</v>
      </c>
      <c r="F26" s="96">
        <f t="shared" si="4"/>
        <v>152669</v>
      </c>
      <c r="G26" s="96">
        <f t="shared" si="4"/>
        <v>159514</v>
      </c>
      <c r="H26" s="263">
        <f>SUM(H22:H25)</f>
        <v>171040.14379999999</v>
      </c>
      <c r="I26" s="263">
        <f t="shared" ref="I26:L26" si="5">SUM(I22:I25)</f>
        <v>183406.29763334</v>
      </c>
      <c r="J26" s="263">
        <f t="shared" si="5"/>
        <v>196674.2062370317</v>
      </c>
      <c r="K26" s="263">
        <f t="shared" si="5"/>
        <v>210910.19133126538</v>
      </c>
      <c r="L26" s="265">
        <f t="shared" si="5"/>
        <v>226185.49369570069</v>
      </c>
      <c r="M26" s="12"/>
      <c r="N26" s="12"/>
    </row>
    <row r="27" spans="1:14" ht="15" customHeight="1" thickTop="1" x14ac:dyDescent="0.25">
      <c r="A27" s="35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89"/>
      <c r="M27" s="12"/>
      <c r="N27" s="12"/>
    </row>
    <row r="28" spans="1:14" ht="15" customHeight="1" x14ac:dyDescent="0.25">
      <c r="A28" s="87" t="s">
        <v>102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0"/>
      <c r="M28" s="12"/>
      <c r="N28" s="12"/>
    </row>
    <row r="29" spans="1:14" ht="15" customHeight="1" x14ac:dyDescent="0.25">
      <c r="A29" s="173" t="s">
        <v>105</v>
      </c>
      <c r="B29" s="14"/>
      <c r="C29" s="102">
        <f>(C22-B22)/B22</f>
        <v>0.18262704324173171</v>
      </c>
      <c r="D29" s="102">
        <f t="shared" ref="D29:G29" si="6">(D22-C22)/C22</f>
        <v>0.1820468175662604</v>
      </c>
      <c r="E29" s="102">
        <f t="shared" si="6"/>
        <v>-7.6013820694671762E-3</v>
      </c>
      <c r="F29" s="102">
        <f t="shared" si="6"/>
        <v>-3.5017957927142122E-2</v>
      </c>
      <c r="G29" s="102">
        <f t="shared" si="6"/>
        <v>1.8039915687130894E-3</v>
      </c>
      <c r="H29" s="246">
        <v>6.4799999999999996E-2</v>
      </c>
      <c r="I29" s="246">
        <v>6.4799999999999996E-2</v>
      </c>
      <c r="J29" s="246">
        <v>6.4799999999999996E-2</v>
      </c>
      <c r="K29" s="246">
        <v>6.4799999999999996E-2</v>
      </c>
      <c r="L29" s="253">
        <v>6.4799999999999996E-2</v>
      </c>
      <c r="M29" s="12"/>
      <c r="N29" s="12"/>
    </row>
    <row r="30" spans="1:14" ht="15" customHeight="1" x14ac:dyDescent="0.25">
      <c r="A30" s="173" t="s">
        <v>106</v>
      </c>
      <c r="B30" s="14"/>
      <c r="C30" s="102">
        <f t="shared" ref="C30:G31" si="7">(C23-B23)/B23</f>
        <v>0.1612635746001177</v>
      </c>
      <c r="D30" s="102">
        <f t="shared" si="7"/>
        <v>0.16174133364044685</v>
      </c>
      <c r="E30" s="102">
        <f t="shared" si="7"/>
        <v>7.9405991633126477E-2</v>
      </c>
      <c r="F30" s="102">
        <f t="shared" si="7"/>
        <v>-4.5865324565592738E-2</v>
      </c>
      <c r="G30" s="102">
        <f t="shared" si="7"/>
        <v>-2.9839253056117049E-3</v>
      </c>
      <c r="H30" s="246">
        <v>7.0699999999999999E-2</v>
      </c>
      <c r="I30" s="246">
        <v>7.0699999999999999E-2</v>
      </c>
      <c r="J30" s="246">
        <v>7.0699999999999999E-2</v>
      </c>
      <c r="K30" s="246">
        <v>7.0699999999999999E-2</v>
      </c>
      <c r="L30" s="253">
        <v>7.0699999999999999E-2</v>
      </c>
      <c r="M30" s="12"/>
      <c r="N30" s="12"/>
    </row>
    <row r="31" spans="1:14" ht="15" customHeight="1" x14ac:dyDescent="0.25">
      <c r="A31" s="173" t="s">
        <v>107</v>
      </c>
      <c r="B31" s="14"/>
      <c r="C31" s="102">
        <f t="shared" si="7"/>
        <v>0.25885021789743895</v>
      </c>
      <c r="D31" s="102">
        <f t="shared" si="7"/>
        <v>8.4317351922985728E-2</v>
      </c>
      <c r="E31" s="102">
        <f t="shared" si="7"/>
        <v>5.8145637437130984E-2</v>
      </c>
      <c r="F31" s="102">
        <f t="shared" si="7"/>
        <v>-6.7370683419785485E-3</v>
      </c>
      <c r="G31" s="102">
        <f t="shared" si="7"/>
        <v>1.0382206687056571E-2</v>
      </c>
      <c r="H31" s="246">
        <v>8.1000000000000003E-2</v>
      </c>
      <c r="I31" s="246">
        <v>8.1000000000000003E-2</v>
      </c>
      <c r="J31" s="246">
        <v>8.1000000000000003E-2</v>
      </c>
      <c r="K31" s="246">
        <v>8.1000000000000003E-2</v>
      </c>
      <c r="L31" s="253">
        <v>8.1000000000000003E-2</v>
      </c>
      <c r="M31" s="12"/>
      <c r="N31" s="12"/>
    </row>
    <row r="32" spans="1:14" ht="15" customHeight="1" thickBot="1" x14ac:dyDescent="0.3">
      <c r="A32" s="36" t="s">
        <v>83</v>
      </c>
      <c r="B32" s="40"/>
      <c r="C32" s="40"/>
      <c r="D32" s="40"/>
      <c r="E32" s="40"/>
      <c r="F32" s="40"/>
      <c r="G32" s="115">
        <v>0</v>
      </c>
      <c r="H32" s="270">
        <v>0.08</v>
      </c>
      <c r="I32" s="270">
        <v>0.08</v>
      </c>
      <c r="J32" s="270">
        <v>0.08</v>
      </c>
      <c r="K32" s="270">
        <v>0.08</v>
      </c>
      <c r="L32" s="271">
        <v>0.08</v>
      </c>
      <c r="M32" s="12"/>
      <c r="N32" s="12"/>
    </row>
    <row r="33" spans="1:14" ht="15" customHeight="1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 ht="15" customHeight="1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 ht="15" customHeight="1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15" customHeight="1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 ht="15" customHeight="1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15" customHeight="1" thickBot="1" x14ac:dyDescent="0.3">
      <c r="B38" s="14"/>
      <c r="C38" s="14"/>
      <c r="D38" s="14"/>
      <c r="E38" s="14"/>
      <c r="F38" s="14"/>
      <c r="G38" s="14"/>
      <c r="H38" s="34"/>
      <c r="I38" s="34"/>
      <c r="J38" s="34"/>
      <c r="K38" s="34"/>
      <c r="L38" s="34"/>
      <c r="M38" s="12"/>
      <c r="N38" s="12"/>
    </row>
    <row r="39" spans="1:14" ht="15" customHeight="1" x14ac:dyDescent="0.25">
      <c r="A39" s="62" t="s">
        <v>108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45"/>
      <c r="M39" s="12"/>
      <c r="N39" s="12"/>
    </row>
    <row r="40" spans="1:14" ht="15" customHeight="1" x14ac:dyDescent="0.25">
      <c r="A40" s="3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50"/>
      <c r="M40" s="12"/>
      <c r="N40" s="12"/>
    </row>
    <row r="41" spans="1:14" ht="15" customHeight="1" x14ac:dyDescent="0.25">
      <c r="A41" s="88" t="s">
        <v>109</v>
      </c>
      <c r="B41" s="14"/>
      <c r="C41" s="14"/>
      <c r="D41" s="14"/>
      <c r="E41" s="14"/>
      <c r="F41" s="14"/>
      <c r="G41" s="12"/>
      <c r="H41" s="12"/>
      <c r="I41" s="12"/>
      <c r="J41" s="12"/>
      <c r="K41" s="12"/>
      <c r="L41" s="50"/>
      <c r="M41" s="12"/>
      <c r="N41" s="12"/>
    </row>
    <row r="42" spans="1:14" ht="15" customHeight="1" x14ac:dyDescent="0.25">
      <c r="A42" s="173" t="s">
        <v>110</v>
      </c>
      <c r="B42" s="93">
        <v>101333</v>
      </c>
      <c r="C42" s="93">
        <v>122158</v>
      </c>
      <c r="D42" s="93">
        <v>138920</v>
      </c>
      <c r="E42" s="93">
        <v>144840</v>
      </c>
      <c r="F42" s="93">
        <v>140083</v>
      </c>
      <c r="G42" s="93">
        <v>147007</v>
      </c>
      <c r="H42" s="251">
        <f>H47*H56</f>
        <v>158828.06808120001</v>
      </c>
      <c r="I42" s="251">
        <f t="shared" ref="I42:L42" si="8">I47*I56</f>
        <v>171599.68716051825</v>
      </c>
      <c r="J42" s="251">
        <f t="shared" si="8"/>
        <v>185398.292564595</v>
      </c>
      <c r="K42" s="251">
        <f t="shared" si="8"/>
        <v>200306.46590698216</v>
      </c>
      <c r="L42" s="252">
        <f t="shared" si="8"/>
        <v>216413.42932090806</v>
      </c>
      <c r="M42" s="12"/>
      <c r="N42" s="12"/>
    </row>
    <row r="43" spans="1:14" ht="15" customHeight="1" x14ac:dyDescent="0.25">
      <c r="A43" s="173" t="s">
        <v>111</v>
      </c>
      <c r="B43" s="94">
        <v>8892</v>
      </c>
      <c r="C43" s="94">
        <v>9952</v>
      </c>
      <c r="D43" s="94">
        <v>12237</v>
      </c>
      <c r="E43" s="94">
        <v>12563</v>
      </c>
      <c r="F43" s="94">
        <v>12586</v>
      </c>
      <c r="G43" s="94">
        <v>12507</v>
      </c>
      <c r="H43" s="262">
        <f>H51*H57</f>
        <v>13437.724914240001</v>
      </c>
      <c r="I43" s="262">
        <f t="shared" ref="I43:L43" si="9">I51*I57</f>
        <v>14437.710951530058</v>
      </c>
      <c r="J43" s="262">
        <f t="shared" si="9"/>
        <v>15512.112269766625</v>
      </c>
      <c r="K43" s="262">
        <f t="shared" si="9"/>
        <v>16666.466580309505</v>
      </c>
      <c r="L43" s="264">
        <f t="shared" si="9"/>
        <v>17906.723690619125</v>
      </c>
      <c r="M43" s="12"/>
      <c r="N43" s="12"/>
    </row>
    <row r="44" spans="1:14" ht="15" customHeight="1" thickBot="1" x14ac:dyDescent="0.3">
      <c r="A44" s="141" t="s">
        <v>112</v>
      </c>
      <c r="B44" s="96">
        <f>B42+B43</f>
        <v>110225</v>
      </c>
      <c r="C44" s="96">
        <f t="shared" ref="C44:G44" si="10">C42+C43</f>
        <v>132110</v>
      </c>
      <c r="D44" s="96">
        <f t="shared" si="10"/>
        <v>151157</v>
      </c>
      <c r="E44" s="96">
        <f t="shared" si="10"/>
        <v>157403</v>
      </c>
      <c r="F44" s="96">
        <f t="shared" si="10"/>
        <v>152669</v>
      </c>
      <c r="G44" s="96">
        <f t="shared" si="10"/>
        <v>159514</v>
      </c>
      <c r="H44" s="263">
        <f>SUM(H42:H43)</f>
        <v>172265.79299544002</v>
      </c>
      <c r="I44" s="263">
        <f t="shared" ref="I44:L44" si="11">SUM(I42:I43)</f>
        <v>186037.39811204831</v>
      </c>
      <c r="J44" s="263">
        <f t="shared" si="11"/>
        <v>200910.40483436163</v>
      </c>
      <c r="K44" s="263">
        <f t="shared" si="11"/>
        <v>216972.93248729166</v>
      </c>
      <c r="L44" s="265">
        <f t="shared" si="11"/>
        <v>234320.1530115272</v>
      </c>
      <c r="M44" s="12"/>
      <c r="N44" s="12"/>
    </row>
    <row r="45" spans="1:14" ht="15" customHeight="1" thickTop="1" x14ac:dyDescent="0.25">
      <c r="A45" s="35"/>
      <c r="B45" s="14"/>
      <c r="C45" s="14"/>
      <c r="D45" s="14"/>
      <c r="E45" s="14"/>
      <c r="F45" s="14"/>
      <c r="G45" s="14"/>
      <c r="H45" s="91"/>
      <c r="I45" s="91"/>
      <c r="J45" s="91"/>
      <c r="K45" s="91"/>
      <c r="L45" s="92"/>
      <c r="M45" s="12"/>
      <c r="N45" s="12"/>
    </row>
    <row r="46" spans="1:14" ht="15" customHeight="1" x14ac:dyDescent="0.25">
      <c r="A46" s="88" t="s">
        <v>113</v>
      </c>
      <c r="B46" s="14"/>
      <c r="C46" s="14"/>
      <c r="D46" s="14"/>
      <c r="E46" s="14"/>
      <c r="F46" s="14"/>
      <c r="G46" s="14"/>
      <c r="H46" s="91"/>
      <c r="I46" s="91"/>
      <c r="J46" s="91"/>
      <c r="K46" s="91"/>
      <c r="L46" s="92"/>
      <c r="M46" s="12"/>
      <c r="N46" s="12"/>
    </row>
    <row r="47" spans="1:14" ht="15" customHeight="1" x14ac:dyDescent="0.25">
      <c r="A47" s="173" t="s">
        <v>110</v>
      </c>
      <c r="B47" s="93">
        <v>1984</v>
      </c>
      <c r="C47" s="93">
        <v>1987</v>
      </c>
      <c r="D47" s="93">
        <v>2006</v>
      </c>
      <c r="E47" s="93">
        <v>2007</v>
      </c>
      <c r="F47" s="93">
        <v>2015</v>
      </c>
      <c r="G47" s="93">
        <v>2025</v>
      </c>
      <c r="H47" s="247">
        <f>G47*(1+H61)</f>
        <v>2033.3025</v>
      </c>
      <c r="I47" s="247">
        <f t="shared" ref="I47:L47" si="12">H47*(1+I61)</f>
        <v>2041.6390402500001</v>
      </c>
      <c r="J47" s="247">
        <f t="shared" si="12"/>
        <v>2050.0097603150252</v>
      </c>
      <c r="K47" s="247">
        <f t="shared" si="12"/>
        <v>2058.4148003323166</v>
      </c>
      <c r="L47" s="254">
        <f t="shared" si="12"/>
        <v>2066.8543010136791</v>
      </c>
      <c r="M47" s="12"/>
      <c r="N47" s="12"/>
    </row>
    <row r="48" spans="1:14" ht="7.5" customHeight="1" x14ac:dyDescent="0.25">
      <c r="A48" s="173"/>
      <c r="B48" s="14"/>
      <c r="C48" s="14"/>
      <c r="D48" s="14"/>
      <c r="E48" s="14"/>
      <c r="F48" s="14"/>
      <c r="G48" s="14"/>
      <c r="H48" s="91"/>
      <c r="I48" s="91"/>
      <c r="J48" s="91"/>
      <c r="K48" s="91"/>
      <c r="L48" s="92"/>
      <c r="M48" s="12"/>
      <c r="N48" s="12"/>
    </row>
    <row r="49" spans="1:14" ht="15" customHeight="1" x14ac:dyDescent="0.25">
      <c r="A49" s="173" t="s">
        <v>114</v>
      </c>
      <c r="B49" s="93">
        <v>182</v>
      </c>
      <c r="C49" s="93">
        <v>182</v>
      </c>
      <c r="D49" s="93">
        <v>182</v>
      </c>
      <c r="E49" s="93">
        <v>182</v>
      </c>
      <c r="F49" s="93">
        <v>182</v>
      </c>
      <c r="G49" s="93">
        <v>182</v>
      </c>
      <c r="H49" s="247">
        <v>182</v>
      </c>
      <c r="I49" s="247">
        <v>182</v>
      </c>
      <c r="J49" s="247">
        <v>182</v>
      </c>
      <c r="K49" s="247">
        <v>182</v>
      </c>
      <c r="L49" s="254">
        <v>182</v>
      </c>
      <c r="M49" s="12"/>
      <c r="N49" s="12"/>
    </row>
    <row r="50" spans="1:14" ht="15" customHeight="1" x14ac:dyDescent="0.25">
      <c r="A50" s="173" t="s">
        <v>115</v>
      </c>
      <c r="B50" s="94">
        <v>125</v>
      </c>
      <c r="C50" s="94">
        <v>127</v>
      </c>
      <c r="D50" s="94">
        <v>129</v>
      </c>
      <c r="E50" s="94">
        <v>133</v>
      </c>
      <c r="F50" s="94">
        <v>138</v>
      </c>
      <c r="G50" s="94">
        <v>140</v>
      </c>
      <c r="H50" s="247">
        <f>H51-H49</f>
        <v>143.09120000000001</v>
      </c>
      <c r="I50" s="247">
        <f t="shared" ref="I50:L50" si="13">I51-I49</f>
        <v>146.21207552000004</v>
      </c>
      <c r="J50" s="247">
        <f t="shared" si="13"/>
        <v>149.36291144499205</v>
      </c>
      <c r="K50" s="247">
        <f t="shared" si="13"/>
        <v>152.543995394864</v>
      </c>
      <c r="L50" s="254">
        <f t="shared" si="13"/>
        <v>155.75561775065472</v>
      </c>
      <c r="M50" s="12"/>
      <c r="N50" s="12"/>
    </row>
    <row r="51" spans="1:14" ht="15" customHeight="1" x14ac:dyDescent="0.25">
      <c r="A51" s="173" t="s">
        <v>116</v>
      </c>
      <c r="B51" s="94">
        <f>B49+B50</f>
        <v>307</v>
      </c>
      <c r="C51" s="94">
        <f t="shared" ref="C51:G51" si="14">C49+C50</f>
        <v>309</v>
      </c>
      <c r="D51" s="94">
        <f t="shared" si="14"/>
        <v>311</v>
      </c>
      <c r="E51" s="94">
        <f t="shared" si="14"/>
        <v>315</v>
      </c>
      <c r="F51" s="94">
        <f t="shared" si="14"/>
        <v>320</v>
      </c>
      <c r="G51" s="94">
        <f t="shared" si="14"/>
        <v>322</v>
      </c>
      <c r="H51" s="248">
        <f>G51*(1+H62)</f>
        <v>325.09120000000001</v>
      </c>
      <c r="I51" s="248">
        <f t="shared" ref="I51:L51" si="15">H51*(1+I62)</f>
        <v>328.21207552000004</v>
      </c>
      <c r="J51" s="248">
        <f t="shared" si="15"/>
        <v>331.36291144499205</v>
      </c>
      <c r="K51" s="248">
        <f t="shared" si="15"/>
        <v>334.543995394864</v>
      </c>
      <c r="L51" s="255">
        <f t="shared" si="15"/>
        <v>337.75561775065472</v>
      </c>
      <c r="M51" s="12"/>
      <c r="N51" s="12"/>
    </row>
    <row r="52" spans="1:14" ht="7.5" customHeight="1" x14ac:dyDescent="0.25">
      <c r="A52" s="173"/>
      <c r="B52" s="14"/>
      <c r="C52" s="14"/>
      <c r="D52" s="14"/>
      <c r="E52" s="14"/>
      <c r="F52" s="14"/>
      <c r="G52" s="14"/>
      <c r="H52" s="91"/>
      <c r="I52" s="91"/>
      <c r="J52" s="91"/>
      <c r="K52" s="91"/>
      <c r="L52" s="92"/>
      <c r="M52" s="12"/>
      <c r="N52" s="12"/>
    </row>
    <row r="53" spans="1:14" ht="15" customHeight="1" thickBot="1" x14ac:dyDescent="0.3">
      <c r="A53" s="35" t="s">
        <v>117</v>
      </c>
      <c r="B53" s="142">
        <f>B47+B51</f>
        <v>2291</v>
      </c>
      <c r="C53" s="142">
        <f>C47+C51</f>
        <v>2296</v>
      </c>
      <c r="D53" s="142">
        <f t="shared" ref="D53:G53" si="16">D47+D51</f>
        <v>2317</v>
      </c>
      <c r="E53" s="142">
        <f t="shared" si="16"/>
        <v>2322</v>
      </c>
      <c r="F53" s="142">
        <f t="shared" si="16"/>
        <v>2335</v>
      </c>
      <c r="G53" s="142">
        <f t="shared" si="16"/>
        <v>2347</v>
      </c>
      <c r="H53" s="172">
        <f>H47+H51</f>
        <v>2358.3937000000001</v>
      </c>
      <c r="I53" s="172">
        <f t="shared" ref="I53:L53" si="17">I47+I51</f>
        <v>2369.85111577</v>
      </c>
      <c r="J53" s="172">
        <f t="shared" si="17"/>
        <v>2381.3726717600175</v>
      </c>
      <c r="K53" s="172">
        <f t="shared" si="17"/>
        <v>2392.9587957271806</v>
      </c>
      <c r="L53" s="266">
        <f t="shared" si="17"/>
        <v>2404.609918764334</v>
      </c>
      <c r="M53" s="12"/>
      <c r="N53" s="12"/>
    </row>
    <row r="54" spans="1:14" ht="15.75" thickTop="1" x14ac:dyDescent="0.25">
      <c r="A54" s="35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50"/>
      <c r="M54" s="12"/>
      <c r="N54" s="12"/>
    </row>
    <row r="55" spans="1:14" x14ac:dyDescent="0.25">
      <c r="A55" s="88" t="s">
        <v>118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50"/>
      <c r="M55" s="12"/>
      <c r="N55" s="12"/>
    </row>
    <row r="56" spans="1:14" x14ac:dyDescent="0.25">
      <c r="A56" s="173" t="s">
        <v>110</v>
      </c>
      <c r="B56" s="225">
        <f>B42/B47</f>
        <v>51.075100806451616</v>
      </c>
      <c r="C56" s="225">
        <f t="shared" ref="C56:G56" si="18">C42/C47</f>
        <v>61.478610971313536</v>
      </c>
      <c r="D56" s="225">
        <f t="shared" si="18"/>
        <v>69.252243270189425</v>
      </c>
      <c r="E56" s="225">
        <f t="shared" si="18"/>
        <v>72.167414050822117</v>
      </c>
      <c r="F56" s="225">
        <f t="shared" si="18"/>
        <v>69.520099255583133</v>
      </c>
      <c r="G56" s="225">
        <f t="shared" si="18"/>
        <v>72.596049382716046</v>
      </c>
      <c r="H56" s="256">
        <f>G56*(1+H65)</f>
        <v>78.113349135802466</v>
      </c>
      <c r="I56" s="256">
        <f t="shared" ref="I56:L56" si="19">H56*(1+I65)</f>
        <v>84.049963670123461</v>
      </c>
      <c r="J56" s="256">
        <f t="shared" si="19"/>
        <v>90.437760909052855</v>
      </c>
      <c r="K56" s="256">
        <f t="shared" si="19"/>
        <v>97.311030738140872</v>
      </c>
      <c r="L56" s="257">
        <f t="shared" si="19"/>
        <v>104.70666907423958</v>
      </c>
      <c r="M56" s="12"/>
      <c r="N56" s="12"/>
    </row>
    <row r="57" spans="1:14" x14ac:dyDescent="0.25">
      <c r="A57" s="173" t="s">
        <v>111</v>
      </c>
      <c r="B57" s="225">
        <f>B43/B51</f>
        <v>28.964169381107492</v>
      </c>
      <c r="C57" s="225">
        <f>C43/C51</f>
        <v>32.207119741100321</v>
      </c>
      <c r="D57" s="225">
        <f t="shared" ref="D57:G57" si="20">D43/D51</f>
        <v>39.347266881028936</v>
      </c>
      <c r="E57" s="225">
        <f t="shared" si="20"/>
        <v>39.882539682539679</v>
      </c>
      <c r="F57" s="225">
        <f t="shared" si="20"/>
        <v>39.331249999999997</v>
      </c>
      <c r="G57" s="225">
        <f t="shared" si="20"/>
        <v>38.841614906832298</v>
      </c>
      <c r="H57" s="256">
        <f>G57*(1+H66)</f>
        <v>41.335246583850932</v>
      </c>
      <c r="I57" s="256">
        <f t="shared" ref="I57:L57" si="21">H57*(1+I66)</f>
        <v>43.988969414534161</v>
      </c>
      <c r="J57" s="256">
        <f t="shared" si="21"/>
        <v>46.813061250947257</v>
      </c>
      <c r="K57" s="256">
        <f t="shared" si="21"/>
        <v>49.818459783258071</v>
      </c>
      <c r="L57" s="257">
        <f t="shared" si="21"/>
        <v>53.016804901343242</v>
      </c>
      <c r="M57" s="12"/>
      <c r="N57" s="12"/>
    </row>
    <row r="58" spans="1:14" x14ac:dyDescent="0.25">
      <c r="A58" s="35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50"/>
      <c r="M58" s="12"/>
      <c r="N58" s="12"/>
    </row>
    <row r="59" spans="1:14" x14ac:dyDescent="0.25">
      <c r="A59" s="87" t="s">
        <v>119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50"/>
      <c r="M59" s="12"/>
      <c r="N59" s="12"/>
    </row>
    <row r="60" spans="1:14" x14ac:dyDescent="0.25">
      <c r="A60" s="35" t="s">
        <v>120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50"/>
      <c r="M60" s="12"/>
      <c r="N60" s="12"/>
    </row>
    <row r="61" spans="1:14" x14ac:dyDescent="0.25">
      <c r="A61" s="173" t="s">
        <v>121</v>
      </c>
      <c r="B61" s="12"/>
      <c r="C61" s="101">
        <f>(C47-B47)/B47</f>
        <v>1.5120967741935483E-3</v>
      </c>
      <c r="D61" s="101">
        <f t="shared" ref="D61:G61" si="22">(D47-C47)/C47</f>
        <v>9.5621540010065419E-3</v>
      </c>
      <c r="E61" s="101">
        <f t="shared" si="22"/>
        <v>4.9850448654037882E-4</v>
      </c>
      <c r="F61" s="101">
        <f t="shared" si="22"/>
        <v>3.9860488290981563E-3</v>
      </c>
      <c r="G61" s="101">
        <f t="shared" si="22"/>
        <v>4.9627791563275434E-3</v>
      </c>
      <c r="H61" s="246">
        <v>4.1000000000000003E-3</v>
      </c>
      <c r="I61" s="246">
        <v>4.1000000000000003E-3</v>
      </c>
      <c r="J61" s="246">
        <v>4.1000000000000003E-3</v>
      </c>
      <c r="K61" s="246">
        <v>4.1000000000000003E-3</v>
      </c>
      <c r="L61" s="253">
        <v>4.1000000000000003E-3</v>
      </c>
      <c r="M61" s="12"/>
      <c r="N61" s="12"/>
    </row>
    <row r="62" spans="1:14" x14ac:dyDescent="0.25">
      <c r="A62" s="173" t="s">
        <v>122</v>
      </c>
      <c r="B62" s="12"/>
      <c r="C62" s="101">
        <f>(C51-B51)/B51</f>
        <v>6.5146579804560263E-3</v>
      </c>
      <c r="D62" s="101">
        <f t="shared" ref="D62:G62" si="23">(D51-C51)/C51</f>
        <v>6.4724919093851136E-3</v>
      </c>
      <c r="E62" s="101">
        <f t="shared" si="23"/>
        <v>1.2861736334405145E-2</v>
      </c>
      <c r="F62" s="101">
        <f t="shared" si="23"/>
        <v>1.5873015873015872E-2</v>
      </c>
      <c r="G62" s="101">
        <f t="shared" si="23"/>
        <v>6.2500000000000003E-3</v>
      </c>
      <c r="H62" s="246">
        <v>9.5999999999999992E-3</v>
      </c>
      <c r="I62" s="246">
        <v>9.5999999999999992E-3</v>
      </c>
      <c r="J62" s="246">
        <v>9.5999999999999992E-3</v>
      </c>
      <c r="K62" s="246">
        <v>9.5999999999999992E-3</v>
      </c>
      <c r="L62" s="253">
        <v>9.5999999999999992E-3</v>
      </c>
      <c r="M62" s="12"/>
      <c r="N62" s="12"/>
    </row>
    <row r="63" spans="1:14" ht="9" customHeight="1" x14ac:dyDescent="0.25">
      <c r="A63" s="3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50"/>
      <c r="M63" s="12"/>
      <c r="N63" s="12"/>
    </row>
    <row r="64" spans="1:14" x14ac:dyDescent="0.25">
      <c r="A64" s="35" t="s">
        <v>123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50"/>
      <c r="M64" s="12"/>
      <c r="N64" s="12"/>
    </row>
    <row r="65" spans="1:14" x14ac:dyDescent="0.25">
      <c r="A65" s="173" t="s">
        <v>121</v>
      </c>
      <c r="B65" s="12"/>
      <c r="C65" s="101">
        <f>(C56-B56)/B56</f>
        <v>0.20369044799903338</v>
      </c>
      <c r="D65" s="101">
        <f t="shared" ref="D65:G65" si="24">(D56-C56)/C56</f>
        <v>0.12644450120226586</v>
      </c>
      <c r="E65" s="101">
        <f t="shared" si="24"/>
        <v>4.2094965346596472E-2</v>
      </c>
      <c r="F65" s="101">
        <f t="shared" si="24"/>
        <v>-3.6682965990366204E-2</v>
      </c>
      <c r="G65" s="101">
        <f t="shared" si="24"/>
        <v>4.4245479509810746E-2</v>
      </c>
      <c r="H65" s="246">
        <v>7.5999999999999998E-2</v>
      </c>
      <c r="I65" s="246">
        <v>7.5999999999999998E-2</v>
      </c>
      <c r="J65" s="246">
        <v>7.5999999999999998E-2</v>
      </c>
      <c r="K65" s="246">
        <v>7.5999999999999998E-2</v>
      </c>
      <c r="L65" s="253">
        <v>7.5999999999999998E-2</v>
      </c>
      <c r="M65" s="12"/>
      <c r="N65" s="12"/>
    </row>
    <row r="66" spans="1:14" x14ac:dyDescent="0.25">
      <c r="A66" s="173" t="s">
        <v>122</v>
      </c>
      <c r="B66" s="12"/>
      <c r="C66" s="101">
        <f>(C57-B57)/B57</f>
        <v>0.11196421058454774</v>
      </c>
      <c r="D66" s="101">
        <f t="shared" ref="D66:G66" si="25">(D57-C57)/C57</f>
        <v>0.22169468109304083</v>
      </c>
      <c r="E66" s="101">
        <f t="shared" si="25"/>
        <v>1.360381149545159E-2</v>
      </c>
      <c r="F66" s="101">
        <f t="shared" si="25"/>
        <v>-1.3822832922072746E-2</v>
      </c>
      <c r="G66" s="101">
        <f t="shared" si="25"/>
        <v>-1.244900920178482E-2</v>
      </c>
      <c r="H66" s="246">
        <v>6.4199999999999993E-2</v>
      </c>
      <c r="I66" s="246">
        <v>6.4199999999999993E-2</v>
      </c>
      <c r="J66" s="246">
        <v>6.4199999999999993E-2</v>
      </c>
      <c r="K66" s="246">
        <v>6.4199999999999993E-2</v>
      </c>
      <c r="L66" s="253">
        <v>6.4199999999999993E-2</v>
      </c>
      <c r="M66" s="12"/>
      <c r="N66" s="12"/>
    </row>
    <row r="67" spans="1:14" ht="15.75" thickBot="1" x14ac:dyDescent="0.3">
      <c r="A67" s="36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1"/>
      <c r="M67" s="12"/>
      <c r="N67" s="12"/>
    </row>
    <row r="68" spans="1:14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15.75" thickBot="1" x14ac:dyDescent="0.3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1:14" ht="15" customHeight="1" x14ac:dyDescent="0.25">
      <c r="A70" s="62" t="s">
        <v>124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45"/>
      <c r="M70" s="12"/>
      <c r="N70" s="12"/>
    </row>
    <row r="71" spans="1:14" ht="15" customHeight="1" x14ac:dyDescent="0.25">
      <c r="A71" s="35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50"/>
      <c r="M71" s="12"/>
      <c r="N71" s="12"/>
    </row>
    <row r="72" spans="1:14" ht="15" customHeight="1" x14ac:dyDescent="0.25">
      <c r="A72" s="88" t="s">
        <v>125</v>
      </c>
      <c r="B72" s="14"/>
      <c r="C72" s="14"/>
      <c r="D72" s="14"/>
      <c r="E72" s="14"/>
      <c r="F72" s="14"/>
      <c r="G72" s="12"/>
      <c r="H72" s="12"/>
      <c r="I72" s="12"/>
      <c r="J72" s="12"/>
      <c r="K72" s="12"/>
      <c r="L72" s="50"/>
      <c r="M72" s="12"/>
      <c r="N72" s="12"/>
    </row>
    <row r="73" spans="1:14" ht="15" customHeight="1" x14ac:dyDescent="0.25">
      <c r="A73" s="173" t="s">
        <v>105</v>
      </c>
      <c r="B73" s="93">
        <f>B22</f>
        <v>39337</v>
      </c>
      <c r="C73" s="93">
        <f t="shared" ref="C73:G73" si="26">C22</f>
        <v>46521</v>
      </c>
      <c r="D73" s="93">
        <f t="shared" si="26"/>
        <v>54990</v>
      </c>
      <c r="E73" s="93">
        <f t="shared" si="26"/>
        <v>54572</v>
      </c>
      <c r="F73" s="93">
        <f t="shared" si="26"/>
        <v>52661</v>
      </c>
      <c r="G73" s="93">
        <f t="shared" si="26"/>
        <v>52756</v>
      </c>
      <c r="H73" s="251">
        <f>H85*H82</f>
        <v>56131.742487040006</v>
      </c>
      <c r="I73" s="251">
        <f t="shared" ref="I73:L73" si="27">I85*I82</f>
        <v>59723.491444221931</v>
      </c>
      <c r="J73" s="251">
        <f t="shared" si="27"/>
        <v>63545.068658996177</v>
      </c>
      <c r="K73" s="251">
        <f t="shared" si="27"/>
        <v>67611.180345137036</v>
      </c>
      <c r="L73" s="252">
        <f t="shared" si="27"/>
        <v>71937.473735272826</v>
      </c>
      <c r="M73" s="12"/>
      <c r="N73" s="12"/>
    </row>
    <row r="74" spans="1:14" ht="15" customHeight="1" x14ac:dyDescent="0.25">
      <c r="A74" s="173" t="s">
        <v>106</v>
      </c>
      <c r="B74" s="93">
        <f>B23</f>
        <v>37386</v>
      </c>
      <c r="C74" s="93">
        <f t="shared" ref="C74:G75" si="28">C23</f>
        <v>43415</v>
      </c>
      <c r="D74" s="93">
        <f t="shared" si="28"/>
        <v>50437</v>
      </c>
      <c r="E74" s="93">
        <f t="shared" si="28"/>
        <v>54442</v>
      </c>
      <c r="F74" s="93">
        <f t="shared" si="28"/>
        <v>51945</v>
      </c>
      <c r="G74" s="93">
        <f t="shared" si="28"/>
        <v>51790</v>
      </c>
      <c r="H74" s="251">
        <f>H86*H82</f>
        <v>55403.69904</v>
      </c>
      <c r="I74" s="251">
        <f t="shared" ref="I74:L74" si="29">I86*I82</f>
        <v>59269.547544215042</v>
      </c>
      <c r="J74" s="251">
        <f t="shared" si="29"/>
        <v>63405.139493660194</v>
      </c>
      <c r="K74" s="251">
        <f t="shared" si="29"/>
        <v>67829.296506969811</v>
      </c>
      <c r="L74" s="252">
        <f t="shared" si="29"/>
        <v>72562.153500040135</v>
      </c>
      <c r="M74" s="12"/>
      <c r="N74" s="12"/>
    </row>
    <row r="75" spans="1:14" ht="15" customHeight="1" x14ac:dyDescent="0.25">
      <c r="A75" s="173" t="s">
        <v>107</v>
      </c>
      <c r="B75" s="93">
        <f>B24</f>
        <v>33502</v>
      </c>
      <c r="C75" s="93">
        <f t="shared" si="28"/>
        <v>42174</v>
      </c>
      <c r="D75" s="93">
        <f t="shared" si="28"/>
        <v>45730</v>
      </c>
      <c r="E75" s="93">
        <f t="shared" si="28"/>
        <v>48389</v>
      </c>
      <c r="F75" s="93">
        <f t="shared" si="28"/>
        <v>48063</v>
      </c>
      <c r="G75" s="93">
        <f t="shared" si="28"/>
        <v>48562</v>
      </c>
      <c r="H75" s="251">
        <f>H87*H82</f>
        <v>52447.379575680003</v>
      </c>
      <c r="I75" s="251">
        <f t="shared" ref="I75:L75" si="30">I87*I82</f>
        <v>56643.62308709394</v>
      </c>
      <c r="J75" s="251">
        <f t="shared" si="30"/>
        <v>61175.602334964919</v>
      </c>
      <c r="K75" s="251">
        <f t="shared" si="30"/>
        <v>66070.179078966292</v>
      </c>
      <c r="L75" s="252">
        <f t="shared" si="30"/>
        <v>71356.364251630832</v>
      </c>
      <c r="M75" s="12"/>
      <c r="N75" s="12"/>
    </row>
    <row r="76" spans="1:14" ht="15" customHeight="1" x14ac:dyDescent="0.25">
      <c r="A76" s="173" t="s">
        <v>83</v>
      </c>
      <c r="B76" s="94">
        <f>B25</f>
        <v>0</v>
      </c>
      <c r="C76" s="94">
        <f t="shared" ref="C76:G76" si="31">C25</f>
        <v>0</v>
      </c>
      <c r="D76" s="94">
        <f t="shared" si="31"/>
        <v>0</v>
      </c>
      <c r="E76" s="94">
        <f t="shared" si="31"/>
        <v>0</v>
      </c>
      <c r="F76" s="94">
        <f t="shared" si="31"/>
        <v>0</v>
      </c>
      <c r="G76" s="94">
        <f t="shared" si="31"/>
        <v>6406</v>
      </c>
      <c r="H76" s="251">
        <f>H88*H82</f>
        <v>6862.2547942400006</v>
      </c>
      <c r="I76" s="251">
        <f>I88*I82</f>
        <v>7351.0054419403486</v>
      </c>
      <c r="J76" s="251">
        <f>J88*J82</f>
        <v>7874.5663965718832</v>
      </c>
      <c r="K76" s="251">
        <f t="shared" ref="K76:L76" si="32">K88*K82</f>
        <v>8435.416954017579</v>
      </c>
      <c r="L76" s="252">
        <f t="shared" si="32"/>
        <v>9036.2129931502514</v>
      </c>
      <c r="M76" s="12"/>
      <c r="N76" s="12"/>
    </row>
    <row r="77" spans="1:14" ht="15" customHeight="1" x14ac:dyDescent="0.25">
      <c r="A77" s="173" t="s">
        <v>112</v>
      </c>
      <c r="B77" s="93">
        <f>SUM(B73:B76)</f>
        <v>110225</v>
      </c>
      <c r="C77" s="93">
        <f t="shared" ref="C77:G77" si="33">SUM(C73:C76)</f>
        <v>132110</v>
      </c>
      <c r="D77" s="93">
        <f t="shared" si="33"/>
        <v>151157</v>
      </c>
      <c r="E77" s="93">
        <f t="shared" si="33"/>
        <v>157403</v>
      </c>
      <c r="F77" s="93">
        <f t="shared" si="33"/>
        <v>152669</v>
      </c>
      <c r="G77" s="93">
        <f t="shared" si="33"/>
        <v>159514</v>
      </c>
      <c r="H77" s="244">
        <f>SUM(H73:H76)</f>
        <v>170845.07589696001</v>
      </c>
      <c r="I77" s="244">
        <f t="shared" ref="I77:L77" si="34">SUM(I73:I76)</f>
        <v>182987.66751747127</v>
      </c>
      <c r="J77" s="244">
        <f t="shared" si="34"/>
        <v>196000.37688419316</v>
      </c>
      <c r="K77" s="244">
        <f t="shared" si="34"/>
        <v>209946.07288509072</v>
      </c>
      <c r="L77" s="249">
        <f t="shared" si="34"/>
        <v>224892.20448009405</v>
      </c>
      <c r="M77" s="12"/>
      <c r="N77" s="12"/>
    </row>
    <row r="78" spans="1:14" ht="15" customHeight="1" x14ac:dyDescent="0.25">
      <c r="A78" s="17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89"/>
      <c r="M78" s="12"/>
      <c r="N78" s="12"/>
    </row>
    <row r="79" spans="1:14" ht="15" customHeight="1" x14ac:dyDescent="0.25">
      <c r="A79" s="222" t="s">
        <v>126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89"/>
      <c r="M79" s="12"/>
      <c r="N79" s="12"/>
    </row>
    <row r="80" spans="1:14" ht="15" customHeight="1" x14ac:dyDescent="0.25">
      <c r="A80" s="35" t="s">
        <v>127</v>
      </c>
      <c r="B80" s="258">
        <v>238.1</v>
      </c>
      <c r="C80" s="258">
        <v>238.6</v>
      </c>
      <c r="D80" s="258">
        <v>240.5</v>
      </c>
      <c r="E80" s="258">
        <v>240.9</v>
      </c>
      <c r="F80" s="258">
        <v>242.3</v>
      </c>
      <c r="G80" s="258">
        <v>243.5</v>
      </c>
      <c r="H80" s="259">
        <f>G80+0.7</f>
        <v>244.2</v>
      </c>
      <c r="I80" s="259">
        <f t="shared" ref="I80:L80" si="35">H80+0.7</f>
        <v>244.89999999999998</v>
      </c>
      <c r="J80" s="259">
        <f t="shared" si="35"/>
        <v>245.59999999999997</v>
      </c>
      <c r="K80" s="259">
        <f t="shared" si="35"/>
        <v>246.29999999999995</v>
      </c>
      <c r="L80" s="260">
        <f t="shared" si="35"/>
        <v>246.99999999999994</v>
      </c>
      <c r="M80" s="12"/>
      <c r="N80" s="12"/>
    </row>
    <row r="81" spans="1:17" ht="15" customHeight="1" x14ac:dyDescent="0.25">
      <c r="A81" s="35" t="s">
        <v>128</v>
      </c>
      <c r="B81" s="174">
        <f>60+4.4</f>
        <v>64.400000000000006</v>
      </c>
      <c r="C81" s="174">
        <f>75.9+5.1</f>
        <v>81</v>
      </c>
      <c r="D81" s="174">
        <f>88.5+5.3</f>
        <v>93.8</v>
      </c>
      <c r="E81" s="174">
        <f>103.1+5.2</f>
        <v>108.3</v>
      </c>
      <c r="F81" s="174">
        <f>111.5+4.8</f>
        <v>116.3</v>
      </c>
      <c r="G81" s="174">
        <f>108.3+4.7</f>
        <v>113</v>
      </c>
      <c r="H81" s="170">
        <f>H82-H80</f>
        <v>124.27840000000003</v>
      </c>
      <c r="I81" s="170">
        <f t="shared" ref="I81:L81" si="36">I82-I80</f>
        <v>135.95927424000007</v>
      </c>
      <c r="J81" s="170">
        <f t="shared" si="36"/>
        <v>148.05614585446409</v>
      </c>
      <c r="K81" s="170">
        <f t="shared" si="36"/>
        <v>160.5829923551741</v>
      </c>
      <c r="L81" s="261">
        <f t="shared" si="36"/>
        <v>173.55426089830797</v>
      </c>
      <c r="M81" s="12"/>
      <c r="N81" s="12"/>
    </row>
    <row r="82" spans="1:17" ht="15" customHeight="1" x14ac:dyDescent="0.25">
      <c r="A82" s="35"/>
      <c r="B82" s="258">
        <f>B80+B81</f>
        <v>302.5</v>
      </c>
      <c r="C82" s="258">
        <f t="shared" ref="C82:G82" si="37">C80+C81</f>
        <v>319.60000000000002</v>
      </c>
      <c r="D82" s="258">
        <f t="shared" si="37"/>
        <v>334.3</v>
      </c>
      <c r="E82" s="258">
        <f t="shared" si="37"/>
        <v>349.2</v>
      </c>
      <c r="F82" s="258">
        <f t="shared" si="37"/>
        <v>358.6</v>
      </c>
      <c r="G82" s="258">
        <f t="shared" si="37"/>
        <v>356.5</v>
      </c>
      <c r="H82" s="244">
        <f>G82*(1+H92)</f>
        <v>368.47840000000002</v>
      </c>
      <c r="I82" s="244">
        <f t="shared" ref="I82:L82" si="38">H82*(1+I92)</f>
        <v>380.85927424000005</v>
      </c>
      <c r="J82" s="244">
        <f t="shared" si="38"/>
        <v>393.65614585446406</v>
      </c>
      <c r="K82" s="244">
        <f t="shared" si="38"/>
        <v>406.88299235517405</v>
      </c>
      <c r="L82" s="249">
        <f t="shared" si="38"/>
        <v>420.55426089830792</v>
      </c>
      <c r="M82" s="14"/>
      <c r="N82" s="14"/>
      <c r="O82" s="14"/>
      <c r="P82" s="14"/>
      <c r="Q82" s="14"/>
    </row>
    <row r="83" spans="1:17" x14ac:dyDescent="0.25">
      <c r="A83" s="35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50"/>
      <c r="M83" s="12"/>
      <c r="N83" s="12"/>
    </row>
    <row r="84" spans="1:17" x14ac:dyDescent="0.25">
      <c r="A84" s="88" t="s">
        <v>129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50"/>
      <c r="M84" s="12"/>
      <c r="N84" s="12"/>
    </row>
    <row r="85" spans="1:17" x14ac:dyDescent="0.25">
      <c r="A85" s="173" t="s">
        <v>105</v>
      </c>
      <c r="B85" s="225">
        <f>B73/B82</f>
        <v>130.03966942148762</v>
      </c>
      <c r="C85" s="225">
        <f t="shared" ref="C85:G85" si="39">C73/C82</f>
        <v>145.56007509386731</v>
      </c>
      <c r="D85" s="225">
        <f t="shared" si="39"/>
        <v>164.49297038588094</v>
      </c>
      <c r="E85" s="225">
        <f t="shared" si="39"/>
        <v>156.27720504009164</v>
      </c>
      <c r="F85" s="225">
        <f t="shared" si="39"/>
        <v>146.85164528722811</v>
      </c>
      <c r="G85" s="225">
        <f t="shared" si="39"/>
        <v>147.98316970546983</v>
      </c>
      <c r="H85" s="256">
        <f>G85*(1+H95)</f>
        <v>152.33387489481066</v>
      </c>
      <c r="I85" s="256">
        <f t="shared" ref="I85:L85" si="40">H85*(1+I95)</f>
        <v>156.81249081671811</v>
      </c>
      <c r="J85" s="256">
        <f t="shared" si="40"/>
        <v>161.42277804672963</v>
      </c>
      <c r="K85" s="256">
        <f t="shared" si="40"/>
        <v>166.16860772130349</v>
      </c>
      <c r="L85" s="257">
        <f t="shared" si="40"/>
        <v>171.05396478830983</v>
      </c>
      <c r="M85" s="12"/>
      <c r="N85" s="12"/>
    </row>
    <row r="86" spans="1:17" x14ac:dyDescent="0.25">
      <c r="A86" s="173" t="s">
        <v>106</v>
      </c>
      <c r="B86" s="225">
        <f>B74/B82</f>
        <v>123.5900826446281</v>
      </c>
      <c r="C86" s="225">
        <f t="shared" ref="C86:G86" si="41">C74/C82</f>
        <v>135.84167709637046</v>
      </c>
      <c r="D86" s="225">
        <f t="shared" si="41"/>
        <v>150.87346694585702</v>
      </c>
      <c r="E86" s="225">
        <f t="shared" si="41"/>
        <v>155.90492554410082</v>
      </c>
      <c r="F86" s="225">
        <f t="shared" si="41"/>
        <v>144.85499163413272</v>
      </c>
      <c r="G86" s="225">
        <f t="shared" si="41"/>
        <v>145.27349228611502</v>
      </c>
      <c r="H86" s="256">
        <f t="shared" ref="H86:L88" si="42">G86*(1+H96)</f>
        <v>150.35806451612902</v>
      </c>
      <c r="I86" s="256">
        <f t="shared" si="42"/>
        <v>155.62059677419353</v>
      </c>
      <c r="J86" s="256">
        <f t="shared" si="42"/>
        <v>161.0673176612903</v>
      </c>
      <c r="K86" s="256">
        <f t="shared" si="42"/>
        <v>166.70467377943544</v>
      </c>
      <c r="L86" s="257">
        <f t="shared" si="42"/>
        <v>172.53933736171567</v>
      </c>
      <c r="M86" s="12"/>
      <c r="N86" s="12"/>
    </row>
    <row r="87" spans="1:17" x14ac:dyDescent="0.25">
      <c r="A87" s="173" t="s">
        <v>107</v>
      </c>
      <c r="B87" s="225">
        <f>B75/B82</f>
        <v>110.7504132231405</v>
      </c>
      <c r="C87" s="225">
        <f t="shared" ref="C87:G87" si="43">C75/C82</f>
        <v>131.95869837296621</v>
      </c>
      <c r="D87" s="225">
        <f t="shared" si="43"/>
        <v>136.79329943164822</v>
      </c>
      <c r="E87" s="225">
        <f t="shared" si="43"/>
        <v>138.57101947308132</v>
      </c>
      <c r="F87" s="225">
        <f t="shared" si="43"/>
        <v>134.02955939765755</v>
      </c>
      <c r="G87" s="225">
        <f t="shared" si="43"/>
        <v>136.21879382889202</v>
      </c>
      <c r="H87" s="256">
        <f t="shared" si="42"/>
        <v>142.33501767180925</v>
      </c>
      <c r="I87" s="256">
        <f t="shared" si="42"/>
        <v>148.72585996527349</v>
      </c>
      <c r="J87" s="256">
        <f t="shared" si="42"/>
        <v>155.40365107771424</v>
      </c>
      <c r="K87" s="256">
        <f t="shared" si="42"/>
        <v>162.38127501110361</v>
      </c>
      <c r="L87" s="257">
        <f>K87*(1+L97)</f>
        <v>169.67219425910216</v>
      </c>
      <c r="M87" s="12"/>
      <c r="N87" s="12"/>
    </row>
    <row r="88" spans="1:17" x14ac:dyDescent="0.25">
      <c r="A88" s="173" t="s">
        <v>83</v>
      </c>
      <c r="B88" s="225">
        <f>B76/B82</f>
        <v>0</v>
      </c>
      <c r="C88" s="225">
        <f t="shared" ref="C88:G88" si="44">C76/C82</f>
        <v>0</v>
      </c>
      <c r="D88" s="225">
        <f t="shared" si="44"/>
        <v>0</v>
      </c>
      <c r="E88" s="225">
        <f t="shared" si="44"/>
        <v>0</v>
      </c>
      <c r="F88" s="225">
        <f t="shared" si="44"/>
        <v>0</v>
      </c>
      <c r="G88" s="225">
        <f t="shared" si="44"/>
        <v>17.969144460028051</v>
      </c>
      <c r="H88" s="256">
        <f t="shared" si="42"/>
        <v>18.623221318373073</v>
      </c>
      <c r="I88" s="256">
        <f t="shared" si="42"/>
        <v>19.301106574361853</v>
      </c>
      <c r="J88" s="256">
        <f t="shared" si="42"/>
        <v>20.003666853668623</v>
      </c>
      <c r="K88" s="256">
        <f t="shared" si="42"/>
        <v>20.73180032714216</v>
      </c>
      <c r="L88" s="257">
        <f t="shared" si="42"/>
        <v>21.486437859050135</v>
      </c>
      <c r="M88" s="12"/>
      <c r="N88" s="12"/>
    </row>
    <row r="89" spans="1:17" x14ac:dyDescent="0.25">
      <c r="A89" s="173" t="s">
        <v>112</v>
      </c>
      <c r="B89" s="225">
        <f>SUM(B85:B88)</f>
        <v>364.38016528925618</v>
      </c>
      <c r="C89" s="225">
        <f t="shared" ref="C89:G89" si="45">SUM(C85:C88)</f>
        <v>413.36045056320393</v>
      </c>
      <c r="D89" s="225">
        <f t="shared" si="45"/>
        <v>452.15973676338621</v>
      </c>
      <c r="E89" s="225">
        <f t="shared" si="45"/>
        <v>450.75315005727379</v>
      </c>
      <c r="F89" s="225">
        <f t="shared" si="45"/>
        <v>425.7361963190184</v>
      </c>
      <c r="G89" s="225">
        <f t="shared" si="45"/>
        <v>447.44460028050497</v>
      </c>
      <c r="H89" s="256">
        <f>SUM(H85:H88)</f>
        <v>463.65017840112199</v>
      </c>
      <c r="I89" s="256">
        <f t="shared" ref="I89:L89" si="46">SUM(I85:I88)</f>
        <v>480.46005413054695</v>
      </c>
      <c r="J89" s="256">
        <f t="shared" si="46"/>
        <v>497.89741363940277</v>
      </c>
      <c r="K89" s="256">
        <f t="shared" si="46"/>
        <v>515.98635683898476</v>
      </c>
      <c r="L89" s="257">
        <f t="shared" si="46"/>
        <v>534.75193426817782</v>
      </c>
      <c r="M89" s="12"/>
      <c r="N89" s="12"/>
    </row>
    <row r="90" spans="1:17" x14ac:dyDescent="0.25">
      <c r="A90" s="173"/>
      <c r="L90" s="117"/>
      <c r="M90" s="12"/>
      <c r="N90" s="12"/>
    </row>
    <row r="91" spans="1:17" x14ac:dyDescent="0.25">
      <c r="A91" s="87" t="s">
        <v>119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50"/>
      <c r="M91" s="12"/>
      <c r="N91" s="12"/>
    </row>
    <row r="92" spans="1:17" x14ac:dyDescent="0.25">
      <c r="A92" s="35" t="s">
        <v>130</v>
      </c>
      <c r="B92" s="12"/>
      <c r="C92" s="101">
        <f>(C82-B82)/B82</f>
        <v>5.6528925619834788E-2</v>
      </c>
      <c r="D92" s="101">
        <f t="shared" ref="D92:F92" si="47">(D82-C82)/C82</f>
        <v>4.5994993742177685E-2</v>
      </c>
      <c r="E92" s="101">
        <f t="shared" si="47"/>
        <v>4.4570744839964031E-2</v>
      </c>
      <c r="F92" s="101">
        <f t="shared" si="47"/>
        <v>2.6918671248568254E-2</v>
      </c>
      <c r="G92" s="101">
        <f>(G82-F82)/F82</f>
        <v>-5.8561070831010115E-3</v>
      </c>
      <c r="H92" s="246">
        <v>3.3599999999999998E-2</v>
      </c>
      <c r="I92" s="246">
        <v>3.3599999999999998E-2</v>
      </c>
      <c r="J92" s="246">
        <v>3.3599999999999998E-2</v>
      </c>
      <c r="K92" s="246">
        <v>3.3599999999999998E-2</v>
      </c>
      <c r="L92" s="253">
        <v>3.3599999999999998E-2</v>
      </c>
      <c r="M92" s="12"/>
      <c r="N92" s="12"/>
    </row>
    <row r="93" spans="1:17" ht="9" customHeight="1" x14ac:dyDescent="0.25">
      <c r="A93" s="35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50"/>
      <c r="M93" s="12"/>
      <c r="N93" s="12"/>
    </row>
    <row r="94" spans="1:17" x14ac:dyDescent="0.25">
      <c r="A94" s="35" t="s">
        <v>131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50"/>
      <c r="M94" s="12"/>
      <c r="N94" s="12"/>
    </row>
    <row r="95" spans="1:17" x14ac:dyDescent="0.25">
      <c r="A95" s="173" t="s">
        <v>132</v>
      </c>
      <c r="B95" s="12"/>
      <c r="C95" s="101">
        <f>(C85-B85)/B85</f>
        <v>0.11935131595939846</v>
      </c>
      <c r="D95" s="101">
        <f t="shared" ref="D95:G95" si="48">(D85-C85)/C85</f>
        <v>0.1300692877480612</v>
      </c>
      <c r="E95" s="101">
        <f t="shared" si="48"/>
        <v>-4.9945996637522479E-2</v>
      </c>
      <c r="F95" s="101">
        <f t="shared" si="48"/>
        <v>-6.031308117166214E-2</v>
      </c>
      <c r="G95" s="101">
        <f t="shared" si="48"/>
        <v>7.7052212525679804E-3</v>
      </c>
      <c r="H95" s="246">
        <v>2.9399999999999999E-2</v>
      </c>
      <c r="I95" s="246">
        <v>2.9399999999999999E-2</v>
      </c>
      <c r="J95" s="246">
        <v>2.9399999999999999E-2</v>
      </c>
      <c r="K95" s="246">
        <v>2.9399999999999999E-2</v>
      </c>
      <c r="L95" s="253">
        <v>2.9399999999999999E-2</v>
      </c>
      <c r="M95" s="12"/>
      <c r="N95" s="12"/>
    </row>
    <row r="96" spans="1:17" x14ac:dyDescent="0.25">
      <c r="A96" s="173" t="s">
        <v>133</v>
      </c>
      <c r="B96" s="12"/>
      <c r="C96" s="101">
        <f t="shared" ref="C96:G97" si="49">(C86-B86)/B86</f>
        <v>9.9130886472264076E-2</v>
      </c>
      <c r="D96" s="101">
        <f t="shared" si="49"/>
        <v>0.11065668630417837</v>
      </c>
      <c r="E96" s="101">
        <f t="shared" si="49"/>
        <v>3.3348863124152958E-2</v>
      </c>
      <c r="F96" s="101">
        <f t="shared" si="49"/>
        <v>-7.0876105237883638E-2</v>
      </c>
      <c r="G96" s="101">
        <f t="shared" si="49"/>
        <v>2.8891006603302049E-3</v>
      </c>
      <c r="H96" s="246">
        <v>3.5000000000000003E-2</v>
      </c>
      <c r="I96" s="246">
        <v>3.5000000000000003E-2</v>
      </c>
      <c r="J96" s="246">
        <v>3.5000000000000003E-2</v>
      </c>
      <c r="K96" s="246">
        <v>3.5000000000000003E-2</v>
      </c>
      <c r="L96" s="253">
        <v>3.5000000000000003E-2</v>
      </c>
      <c r="M96" s="34"/>
      <c r="N96" s="12"/>
    </row>
    <row r="97" spans="1:14" x14ac:dyDescent="0.25">
      <c r="A97" s="173" t="s">
        <v>134</v>
      </c>
      <c r="B97" s="12"/>
      <c r="C97" s="101">
        <f t="shared" si="49"/>
        <v>0.19149621687726937</v>
      </c>
      <c r="D97" s="101">
        <f t="shared" si="49"/>
        <v>3.6637229059486194E-2</v>
      </c>
      <c r="E97" s="101">
        <f t="shared" si="49"/>
        <v>1.299566608027739E-2</v>
      </c>
      <c r="F97" s="101">
        <f t="shared" si="49"/>
        <v>-3.2773519980532372E-2</v>
      </c>
      <c r="G97" s="101">
        <f t="shared" si="49"/>
        <v>1.6333967231356349E-2</v>
      </c>
      <c r="H97" s="246">
        <v>4.4900000000000002E-2</v>
      </c>
      <c r="I97" s="246">
        <v>4.4900000000000002E-2</v>
      </c>
      <c r="J97" s="246">
        <v>4.4900000000000002E-2</v>
      </c>
      <c r="K97" s="246">
        <v>4.4900000000000002E-2</v>
      </c>
      <c r="L97" s="253">
        <v>4.4900000000000002E-2</v>
      </c>
      <c r="M97" s="12"/>
      <c r="N97" s="12"/>
    </row>
    <row r="98" spans="1:14" x14ac:dyDescent="0.25">
      <c r="A98" s="173" t="s">
        <v>135</v>
      </c>
      <c r="B98" s="12"/>
      <c r="C98" s="101">
        <v>0</v>
      </c>
      <c r="D98" s="101">
        <v>0</v>
      </c>
      <c r="E98" s="101">
        <v>0</v>
      </c>
      <c r="F98" s="101">
        <v>0</v>
      </c>
      <c r="G98" s="101">
        <v>0</v>
      </c>
      <c r="H98" s="246">
        <v>3.6400000000000002E-2</v>
      </c>
      <c r="I98" s="246">
        <v>3.6400000000000002E-2</v>
      </c>
      <c r="J98" s="246">
        <v>3.6400000000000002E-2</v>
      </c>
      <c r="K98" s="246">
        <v>3.6400000000000002E-2</v>
      </c>
      <c r="L98" s="253">
        <v>3.6400000000000002E-2</v>
      </c>
      <c r="M98" s="12"/>
      <c r="N98" s="12"/>
    </row>
    <row r="99" spans="1:14" x14ac:dyDescent="0.25">
      <c r="A99" s="173" t="s">
        <v>136</v>
      </c>
      <c r="B99" s="12"/>
      <c r="C99" s="101">
        <f>SUM(C95:C98)</f>
        <v>0.40997841930893192</v>
      </c>
      <c r="D99" s="101">
        <f t="shared" ref="D99:G99" si="50">SUM(D95:D98)</f>
        <v>0.27736320311172574</v>
      </c>
      <c r="E99" s="101">
        <f t="shared" si="50"/>
        <v>-3.6014674330921304E-3</v>
      </c>
      <c r="F99" s="101">
        <f t="shared" si="50"/>
        <v>-0.16396270639007815</v>
      </c>
      <c r="G99" s="101">
        <f t="shared" si="50"/>
        <v>2.6928289144254533E-2</v>
      </c>
      <c r="H99" s="246">
        <f>SUM(H95:H98)</f>
        <v>0.1457</v>
      </c>
      <c r="I99" s="246">
        <f t="shared" ref="I99:L99" si="51">SUM(I95:I98)</f>
        <v>0.1457</v>
      </c>
      <c r="J99" s="246">
        <f t="shared" si="51"/>
        <v>0.1457</v>
      </c>
      <c r="K99" s="246">
        <f t="shared" si="51"/>
        <v>0.1457</v>
      </c>
      <c r="L99" s="253">
        <f t="shared" si="51"/>
        <v>0.1457</v>
      </c>
      <c r="M99" s="12"/>
      <c r="N99" s="12"/>
    </row>
    <row r="100" spans="1:14" ht="15.75" thickBot="1" x14ac:dyDescent="0.3">
      <c r="A100" s="36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1"/>
      <c r="M100" s="12"/>
      <c r="N100" s="12"/>
    </row>
    <row r="101" spans="1:14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1:14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1:14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1:14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1:14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2:14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2:14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2:14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2:14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2:14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2:14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2:14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2:14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2:14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2:14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2:14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2:14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2:14" x14ac:dyDescent="0.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2:14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2:14" x14ac:dyDescent="0.25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2:14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2:14" x14ac:dyDescent="0.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2:14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2:14" x14ac:dyDescent="0.25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spans="2:14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2:14" x14ac:dyDescent="0.2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2:14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2:14" x14ac:dyDescent="0.2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2:14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2:14" x14ac:dyDescent="0.25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2:14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2:14" x14ac:dyDescent="0.25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spans="2:14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2:14" x14ac:dyDescent="0.25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2:14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spans="2:14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2:14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2:14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2:14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spans="2:14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spans="2:14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2:14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spans="2:14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2:14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spans="2:14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2:14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2:14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2:14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2:14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2:14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2:14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2:14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spans="2:14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spans="2:14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2:14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spans="2:14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2:14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2:14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2:14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spans="2:14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2:14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spans="2:14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2:14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2:14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2:14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2:14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spans="2:14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2:14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2:14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spans="2:14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spans="2:14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spans="2:14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2:14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spans="2:14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2:14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2:14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2:14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2:14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2:14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2:14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2:14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2:14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2:14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2:14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2:14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2:14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2:14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2:14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spans="2:14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2:14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spans="2:14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2:14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spans="2:14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2:14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spans="2:14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2:14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spans="2:14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2:14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spans="2:14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2:14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spans="2:14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spans="2:14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spans="2:14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spans="2:14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spans="2:14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spans="2:14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2:14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spans="2:14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spans="2:14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spans="2:14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spans="2:14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spans="2:14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spans="2:14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spans="2:14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spans="2:14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2:14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spans="2:14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spans="2:14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2:14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2:14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spans="2:14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spans="2:14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2:14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2:14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2:14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spans="2:14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spans="2:14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spans="2:14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spans="2:14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2:14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spans="2:14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spans="2:14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spans="2:14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spans="2:14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spans="2:14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spans="2:14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2:14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spans="2:14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spans="2:14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spans="2:14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spans="2:14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2:14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spans="2:14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 spans="2:14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spans="2:14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spans="2:14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spans="2:14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spans="2:14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2:14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spans="2:14" x14ac:dyDescent="0.25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spans="2:14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 spans="2:14" x14ac:dyDescent="0.25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spans="2:14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spans="2:14" x14ac:dyDescent="0.25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2:14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2:14" x14ac:dyDescent="0.25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spans="2:14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 spans="2:14" x14ac:dyDescent="0.2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 spans="2:14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spans="2:14" x14ac:dyDescent="0.25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spans="2:14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spans="2:14" x14ac:dyDescent="0.25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spans="2:14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spans="2:14" x14ac:dyDescent="0.25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spans="2:14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spans="2:14" x14ac:dyDescent="0.25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spans="2:14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spans="2:14" x14ac:dyDescent="0.2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2:14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spans="2:14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spans="2:14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2:14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spans="2:14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2:14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spans="2:14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spans="2:14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spans="2:14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spans="2:14" x14ac:dyDescent="0.2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2:14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2:14" x14ac:dyDescent="0.25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spans="2:14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2:14" x14ac:dyDescent="0.25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spans="2:14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spans="2:14" x14ac:dyDescent="0.25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spans="2:14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spans="2:14" x14ac:dyDescent="0.25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2:14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spans="2:14" x14ac:dyDescent="0.2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spans="2:14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spans="2:14" x14ac:dyDescent="0.25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2:14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spans="2:14" x14ac:dyDescent="0.25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2:14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2:14" x14ac:dyDescent="0.25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2:14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spans="2:14" x14ac:dyDescent="0.25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2:14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2:14" x14ac:dyDescent="0.2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spans="2:14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2:14" x14ac:dyDescent="0.25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2:14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spans="2:14" x14ac:dyDescent="0.25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spans="2:14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2:14" x14ac:dyDescent="0.25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2:14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2:14" x14ac:dyDescent="0.25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2:14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spans="2:14" x14ac:dyDescent="0.2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2:14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2:14" x14ac:dyDescent="0.25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2:14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spans="2:14" x14ac:dyDescent="0.25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spans="2:14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2:14" x14ac:dyDescent="0.2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2:14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spans="2:14" x14ac:dyDescent="0.25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2:14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spans="2:14" x14ac:dyDescent="0.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spans="2:14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2:14" x14ac:dyDescent="0.25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2:14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spans="2:14" x14ac:dyDescent="0.25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spans="2:14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2:14" x14ac:dyDescent="0.25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spans="2:14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spans="2:14" x14ac:dyDescent="0.25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2:14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spans="2:14" x14ac:dyDescent="0.2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spans="2:14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2:14" x14ac:dyDescent="0.25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2:14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2:14" x14ac:dyDescent="0.25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spans="2:14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spans="2:14" x14ac:dyDescent="0.25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2:14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spans="2:14" x14ac:dyDescent="0.25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spans="2:14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spans="2:14" x14ac:dyDescent="0.2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spans="2:14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spans="2:14" x14ac:dyDescent="0.25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spans="2:14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2:14" x14ac:dyDescent="0.25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spans="2:14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spans="2:14" x14ac:dyDescent="0.25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2:14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2:14" x14ac:dyDescent="0.25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spans="2:14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spans="2:14" x14ac:dyDescent="0.2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spans="2:14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spans="2:14" x14ac:dyDescent="0.25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spans="2:14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spans="2:14" x14ac:dyDescent="0.25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2:14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spans="2:14" x14ac:dyDescent="0.25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spans="2:14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2:14" x14ac:dyDescent="0.25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spans="2:14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spans="2:14" x14ac:dyDescent="0.2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spans="2:14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2:14" x14ac:dyDescent="0.25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spans="2:14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spans="2:14" x14ac:dyDescent="0.25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spans="2:14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spans="2:14" x14ac:dyDescent="0.25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2:14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spans="2:14" x14ac:dyDescent="0.25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spans="2:14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spans="2:14" x14ac:dyDescent="0.2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spans="2:14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spans="2:14" x14ac:dyDescent="0.2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spans="2:14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spans="2:14" x14ac:dyDescent="0.2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2:14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2:14" x14ac:dyDescent="0.25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2:14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2:14" x14ac:dyDescent="0.25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2:14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2:14" x14ac:dyDescent="0.2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2:14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2:14" x14ac:dyDescent="0.25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2:14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2:14" x14ac:dyDescent="0.25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2:14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2:14" x14ac:dyDescent="0.25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2:14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2:14" x14ac:dyDescent="0.25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2:14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2:14" x14ac:dyDescent="0.2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2:14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2:14" x14ac:dyDescent="0.25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2:14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2:14" x14ac:dyDescent="0.25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2:14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2:14" x14ac:dyDescent="0.25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2:14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2:14" x14ac:dyDescent="0.25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2:14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2:14" x14ac:dyDescent="0.2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2:14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2:14" x14ac:dyDescent="0.25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2:14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2:14" x14ac:dyDescent="0.25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2:14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2:14" x14ac:dyDescent="0.25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2:14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2:14" x14ac:dyDescent="0.25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2:14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2:14" x14ac:dyDescent="0.2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2:14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2:14" x14ac:dyDescent="0.25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2:14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2:14" x14ac:dyDescent="0.25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2:14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2:14" x14ac:dyDescent="0.25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2:14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2:14" x14ac:dyDescent="0.25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2:14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2:14" x14ac:dyDescent="0.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2:14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2:14" x14ac:dyDescent="0.25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2:14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2:14" x14ac:dyDescent="0.25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2:14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2:14" x14ac:dyDescent="0.25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2:14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2:14" x14ac:dyDescent="0.25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2:14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2:14" x14ac:dyDescent="0.2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2:14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2:14" x14ac:dyDescent="0.25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2:14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2:14" x14ac:dyDescent="0.25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2:14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2:14" x14ac:dyDescent="0.25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2:14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2:14" x14ac:dyDescent="0.25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2:14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2:14" x14ac:dyDescent="0.2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2:14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2:14" x14ac:dyDescent="0.25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2:14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2:14" x14ac:dyDescent="0.25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2:14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2:14" x14ac:dyDescent="0.25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2:14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2:14" x14ac:dyDescent="0.25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2:14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2:14" x14ac:dyDescent="0.2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2:14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2:14" x14ac:dyDescent="0.25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2:14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2:14" x14ac:dyDescent="0.25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2:14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2:14" x14ac:dyDescent="0.25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2:14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2:14" x14ac:dyDescent="0.25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2:14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2:14" x14ac:dyDescent="0.2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2:14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2:14" x14ac:dyDescent="0.25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2:14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2:14" x14ac:dyDescent="0.25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2:14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2:14" x14ac:dyDescent="0.25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2:14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2:14" x14ac:dyDescent="0.25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2:14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2:14" x14ac:dyDescent="0.2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</sheetData>
  <mergeCells count="2">
    <mergeCell ref="B1:G1"/>
    <mergeCell ref="H1:L1"/>
  </mergeCells>
  <pageMargins left="0.17" right="0.16" top="0.17" bottom="0.31" header="0.38" footer="0.48"/>
  <pageSetup scale="95" fitToHeight="0" orientation="landscape" r:id="rId1"/>
  <rowBreaks count="2" manualBreakCount="2">
    <brk id="37" max="11" man="1"/>
    <brk id="44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502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27" sqref="I27"/>
    </sheetView>
  </sheetViews>
  <sheetFormatPr defaultRowHeight="15" x14ac:dyDescent="0.25"/>
  <cols>
    <col min="1" max="1" width="39" customWidth="1"/>
    <col min="2" max="11" width="9.7109375" style="1" customWidth="1"/>
    <col min="12" max="12" width="10.5703125" style="1" bestFit="1" customWidth="1"/>
    <col min="15" max="15" width="10.7109375" bestFit="1" customWidth="1"/>
  </cols>
  <sheetData>
    <row r="1" spans="1:19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9" s="2" customFormat="1" ht="15.75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9" ht="15" customHeight="1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9" s="2" customFormat="1" x14ac:dyDescent="0.25">
      <c r="A4" s="5" t="s">
        <v>137</v>
      </c>
      <c r="B4" s="93">
        <f>Financials!B55</f>
        <v>110225</v>
      </c>
      <c r="C4" s="93">
        <f>Financials!C55</f>
        <v>132110</v>
      </c>
      <c r="D4" s="93">
        <f>Financials!D55</f>
        <v>151157</v>
      </c>
      <c r="E4" s="93">
        <f>Financials!E55</f>
        <v>157403</v>
      </c>
      <c r="F4" s="93">
        <f>Financials!F55</f>
        <v>152669</v>
      </c>
      <c r="G4" s="93">
        <f>Financials!G55</f>
        <v>159514</v>
      </c>
      <c r="H4" s="95">
        <f>Financials!H55</f>
        <v>171606.5331731</v>
      </c>
      <c r="I4" s="95">
        <f>Financials!I55</f>
        <v>184622.12321571491</v>
      </c>
      <c r="J4" s="95">
        <f>Financials!J55</f>
        <v>198631.67198089664</v>
      </c>
      <c r="K4" s="95">
        <f>Financials!K55</f>
        <v>213711.55816727196</v>
      </c>
      <c r="L4" s="95">
        <f>Financials!L55</f>
        <v>229944.0625074993</v>
      </c>
    </row>
    <row r="5" spans="1:19" ht="15" customHeigh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2"/>
      <c r="P5" s="109"/>
      <c r="Q5" s="109"/>
      <c r="R5" s="109"/>
      <c r="S5" s="109"/>
    </row>
    <row r="6" spans="1:19" ht="15" customHeight="1" thickBot="1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P6" s="109"/>
      <c r="Q6" s="109"/>
      <c r="R6" s="109"/>
      <c r="S6" s="109"/>
    </row>
    <row r="7" spans="1:19" ht="15" customHeight="1" x14ac:dyDescent="0.25">
      <c r="A7" s="175" t="s">
        <v>138</v>
      </c>
      <c r="B7" s="176">
        <f>Financials!B57</f>
        <v>72653</v>
      </c>
      <c r="C7" s="176">
        <f>Financials!C57</f>
        <v>87257</v>
      </c>
      <c r="D7" s="176">
        <f>Financials!D57</f>
        <v>100325</v>
      </c>
      <c r="E7" s="176">
        <f>Financials!E57</f>
        <v>104625</v>
      </c>
      <c r="F7" s="176">
        <f>Financials!F57</f>
        <v>101709</v>
      </c>
      <c r="G7" s="176">
        <f>Financials!G57</f>
        <v>106206</v>
      </c>
      <c r="H7" s="267">
        <f>H4*H9</f>
        <v>113826.61345371723</v>
      </c>
      <c r="I7" s="267">
        <f>I4*I9</f>
        <v>122459.8543289837</v>
      </c>
      <c r="J7" s="267">
        <f t="shared" ref="J7" si="0">J4*J9</f>
        <v>131752.38802492875</v>
      </c>
      <c r="K7" s="267">
        <f>K4*K9</f>
        <v>141754.87653235148</v>
      </c>
      <c r="L7" s="268">
        <f>L4*L9</f>
        <v>152521.89666122428</v>
      </c>
      <c r="M7" s="12"/>
      <c r="P7" s="109"/>
      <c r="Q7" s="109"/>
      <c r="R7" s="109"/>
      <c r="S7" s="109"/>
    </row>
    <row r="8" spans="1:19" ht="15" customHeight="1" x14ac:dyDescent="0.25">
      <c r="A8" s="35"/>
      <c r="B8" s="12"/>
      <c r="C8" s="12"/>
      <c r="D8" s="12"/>
      <c r="E8" s="12"/>
      <c r="F8" s="12"/>
      <c r="G8" s="12"/>
      <c r="H8" s="12"/>
      <c r="I8" s="12"/>
      <c r="J8" s="12"/>
      <c r="K8" s="12"/>
      <c r="L8" s="50"/>
      <c r="M8" s="12"/>
      <c r="P8" s="109"/>
      <c r="Q8" s="109"/>
      <c r="R8" s="109"/>
      <c r="S8" s="109"/>
    </row>
    <row r="9" spans="1:19" x14ac:dyDescent="0.25">
      <c r="A9" s="90" t="s">
        <v>139</v>
      </c>
      <c r="B9" s="102">
        <f>B7/B4</f>
        <v>0.65913359038330688</v>
      </c>
      <c r="C9" s="102">
        <f t="shared" ref="C9:F9" si="1">C7/C4</f>
        <v>0.6604874725607448</v>
      </c>
      <c r="D9" s="102">
        <f t="shared" si="1"/>
        <v>0.66371388688582067</v>
      </c>
      <c r="E9" s="102">
        <f t="shared" si="1"/>
        <v>0.66469508205053274</v>
      </c>
      <c r="F9" s="102">
        <f t="shared" si="1"/>
        <v>0.66620597501784906</v>
      </c>
      <c r="G9" s="102">
        <f>G7/G4</f>
        <v>0.66580989756385023</v>
      </c>
      <c r="H9" s="151">
        <v>0.6633</v>
      </c>
      <c r="I9" s="151">
        <v>0.6633</v>
      </c>
      <c r="J9" s="151">
        <v>0.6633</v>
      </c>
      <c r="K9" s="151">
        <v>0.6633</v>
      </c>
      <c r="L9" s="269">
        <v>0.6633</v>
      </c>
      <c r="M9" s="14"/>
    </row>
    <row r="10" spans="1:19" ht="15.75" thickBot="1" x14ac:dyDescent="0.3">
      <c r="A10" s="36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8"/>
      <c r="M10" s="14"/>
    </row>
    <row r="11" spans="1:19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9" ht="15" customHeight="1" thickBot="1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9" ht="15" customHeight="1" x14ac:dyDescent="0.25">
      <c r="A13" s="126" t="s">
        <v>140</v>
      </c>
      <c r="B13" s="176">
        <f>Financials!B62</f>
        <v>19740</v>
      </c>
      <c r="C13" s="176">
        <f>Financials!C62</f>
        <v>24447</v>
      </c>
      <c r="D13" s="176">
        <f>Financials!D62</f>
        <v>25406</v>
      </c>
      <c r="E13" s="176">
        <f>Financials!E62</f>
        <v>26284</v>
      </c>
      <c r="F13" s="176">
        <f>Financials!F62</f>
        <v>26598</v>
      </c>
      <c r="G13" s="176">
        <f>Financials!G62</f>
        <v>28748</v>
      </c>
      <c r="H13" s="267">
        <f>H4*H15</f>
        <v>30134.107225196363</v>
      </c>
      <c r="I13" s="267">
        <f>I4*I15</f>
        <v>32419.644836679538</v>
      </c>
      <c r="J13" s="267">
        <f t="shared" ref="J13:L13" si="2">J4*J15</f>
        <v>34879.721599845449</v>
      </c>
      <c r="K13" s="267">
        <f t="shared" si="2"/>
        <v>37527.749614172957</v>
      </c>
      <c r="L13" s="268">
        <f t="shared" si="2"/>
        <v>40378.177376316882</v>
      </c>
      <c r="M13" s="12"/>
      <c r="N13" s="12"/>
    </row>
    <row r="14" spans="1:19" ht="15" customHeight="1" x14ac:dyDescent="0.25">
      <c r="A14" s="35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50"/>
      <c r="M14" s="12"/>
      <c r="N14" s="12"/>
    </row>
    <row r="15" spans="1:19" ht="15" customHeight="1" x14ac:dyDescent="0.25">
      <c r="A15" s="90" t="s">
        <v>139</v>
      </c>
      <c r="B15" s="101">
        <f>B13/B4</f>
        <v>0.17908822862327059</v>
      </c>
      <c r="C15" s="101">
        <f t="shared" ref="C15:G15" si="3">C13/C4</f>
        <v>0.1850503368405117</v>
      </c>
      <c r="D15" s="101">
        <f t="shared" si="3"/>
        <v>0.16807690017663754</v>
      </c>
      <c r="E15" s="101">
        <f t="shared" si="3"/>
        <v>0.16698538147303418</v>
      </c>
      <c r="F15" s="101">
        <f t="shared" si="3"/>
        <v>0.17422004467180632</v>
      </c>
      <c r="G15" s="101">
        <f t="shared" si="3"/>
        <v>0.1802224256178141</v>
      </c>
      <c r="H15" s="246">
        <v>0.17560000000000001</v>
      </c>
      <c r="I15" s="246">
        <v>0.17560000000000001</v>
      </c>
      <c r="J15" s="246">
        <v>0.17560000000000001</v>
      </c>
      <c r="K15" s="246">
        <v>0.17560000000000001</v>
      </c>
      <c r="L15" s="253">
        <v>0.17560000000000001</v>
      </c>
      <c r="M15" s="12"/>
      <c r="N15" s="12"/>
      <c r="O15" s="34"/>
    </row>
    <row r="16" spans="1:19" ht="15" customHeight="1" thickBot="1" x14ac:dyDescent="0.3">
      <c r="A16" s="36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12"/>
      <c r="N16" s="12"/>
    </row>
    <row r="17" spans="1:14" ht="15" customHeight="1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ht="15.75" thickBot="1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x14ac:dyDescent="0.25">
      <c r="A19" s="62" t="s">
        <v>141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45"/>
      <c r="M19" s="12"/>
      <c r="N19" s="12"/>
    </row>
    <row r="20" spans="1:14" x14ac:dyDescent="0.25">
      <c r="A20" s="35" t="s">
        <v>142</v>
      </c>
      <c r="B20" s="93">
        <f>Financials!B77</f>
        <v>3473</v>
      </c>
      <c r="C20" s="93">
        <f>Financials!C77</f>
        <v>4112</v>
      </c>
      <c r="D20" s="93">
        <f>Financials!D77</f>
        <v>5304</v>
      </c>
      <c r="E20" s="93">
        <f>Financials!E77</f>
        <v>5372</v>
      </c>
      <c r="F20" s="93">
        <f>Financials!F77</f>
        <v>4781</v>
      </c>
      <c r="G20" s="93">
        <f>Financials!G77</f>
        <v>4600</v>
      </c>
      <c r="H20" s="251">
        <f>H21*H22</f>
        <v>5307.6737321531491</v>
      </c>
      <c r="I20" s="251">
        <f t="shared" ref="I20:L20" si="4">I21*I22</f>
        <v>5796.8591878700418</v>
      </c>
      <c r="J20" s="251">
        <f t="shared" si="4"/>
        <v>6334.0833891704624</v>
      </c>
      <c r="K20" s="251">
        <f t="shared" si="4"/>
        <v>6853.0903611927924</v>
      </c>
      <c r="L20" s="252">
        <f t="shared" si="4"/>
        <v>7362.7536103539851</v>
      </c>
      <c r="M20" s="12"/>
      <c r="N20" s="12"/>
    </row>
    <row r="21" spans="1:14" x14ac:dyDescent="0.25">
      <c r="A21" s="35" t="s">
        <v>143</v>
      </c>
      <c r="B21" s="98">
        <f>Financials!B75</f>
        <v>14715</v>
      </c>
      <c r="C21" s="98">
        <f>Financials!C75</f>
        <v>16978</v>
      </c>
      <c r="D21" s="98">
        <f>Financials!D75</f>
        <v>21737</v>
      </c>
      <c r="E21" s="98">
        <f>Financials!E75</f>
        <v>22477</v>
      </c>
      <c r="F21" s="98">
        <f>Financials!F75</f>
        <v>19924</v>
      </c>
      <c r="G21" s="98">
        <f>Financials!G75</f>
        <v>19406</v>
      </c>
      <c r="H21" s="251">
        <f>Financials!H75</f>
        <v>22142.985949741967</v>
      </c>
      <c r="I21" s="251">
        <f>Financials!I75</f>
        <v>24183.809711598005</v>
      </c>
      <c r="J21" s="251">
        <f>Financials!J75</f>
        <v>26425.045428329006</v>
      </c>
      <c r="K21" s="251">
        <f>Financials!K75</f>
        <v>28590.281022915278</v>
      </c>
      <c r="L21" s="252">
        <f>Financials!L75</f>
        <v>30716.535712782585</v>
      </c>
      <c r="M21" s="12"/>
    </row>
    <row r="22" spans="1:14" x14ac:dyDescent="0.25">
      <c r="A22" s="35" t="s">
        <v>144</v>
      </c>
      <c r="B22" s="101">
        <f>B20/B21</f>
        <v>0.23601766904519197</v>
      </c>
      <c r="C22" s="101">
        <f t="shared" ref="C22:G22" si="5">C20/C21</f>
        <v>0.24219578277771234</v>
      </c>
      <c r="D22" s="101">
        <f>D20/D21</f>
        <v>0.244007912775452</v>
      </c>
      <c r="E22" s="101">
        <f t="shared" si="5"/>
        <v>0.23899986653023089</v>
      </c>
      <c r="F22" s="101">
        <f t="shared" si="5"/>
        <v>0.23996185504918691</v>
      </c>
      <c r="G22" s="101">
        <f t="shared" si="5"/>
        <v>0.23704009069359991</v>
      </c>
      <c r="H22" s="246">
        <v>0.2397</v>
      </c>
      <c r="I22" s="246">
        <v>0.2397</v>
      </c>
      <c r="J22" s="246">
        <v>0.2397</v>
      </c>
      <c r="K22" s="246">
        <v>0.2397</v>
      </c>
      <c r="L22" s="253">
        <v>0.2397</v>
      </c>
      <c r="M22" s="12"/>
      <c r="N22" s="12"/>
    </row>
    <row r="23" spans="1:14" ht="15.75" thickBot="1" x14ac:dyDescent="0.3">
      <c r="A23" s="36"/>
      <c r="B23" s="40"/>
      <c r="C23" s="40"/>
      <c r="D23" s="127"/>
      <c r="E23" s="127"/>
      <c r="F23" s="127"/>
      <c r="G23" s="127"/>
      <c r="H23" s="40"/>
      <c r="I23" s="40"/>
      <c r="J23" s="40"/>
      <c r="K23" s="40"/>
      <c r="L23" s="41"/>
      <c r="M23" s="12"/>
      <c r="N23" s="12"/>
    </row>
    <row r="24" spans="1:14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4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2:14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2:14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2:14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2:14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2:14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2:14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2:14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2:14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2:14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2:14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2:14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2:14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2:14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2:14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2:14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2:14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2:14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2:14" x14ac:dyDescent="0.2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2:14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2:14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2:14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2:14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2:14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2:14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4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2:14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2:14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2:14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2:14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2:14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2:14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2:14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4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2:14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2:14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2:14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2:14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2:14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2:14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2:14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2:14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2:14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2:14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2:14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2:14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2:14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2:14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2:14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2:14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2:14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2:14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2:14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2:14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2:14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2:14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2:14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2:14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2:14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2:14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2:14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2:14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2:14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2:14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2:14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2:14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2:14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2:14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2:14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2:14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2:14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2:14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2:14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2:14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2:14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2:14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2:14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2:14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2:14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2:14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2:14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2:14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2:14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2:14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2:14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2:14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2:14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2:14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2:14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2:14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2:14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2:14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2:14" x14ac:dyDescent="0.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2:14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2:14" x14ac:dyDescent="0.25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2:14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2:14" x14ac:dyDescent="0.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2:14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2:14" x14ac:dyDescent="0.25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spans="2:14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2:14" x14ac:dyDescent="0.2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2:14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2:14" x14ac:dyDescent="0.2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2:14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2:14" x14ac:dyDescent="0.25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2:14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2:14" x14ac:dyDescent="0.25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spans="2:14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2:14" x14ac:dyDescent="0.25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2:14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spans="2:14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2:14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2:14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2:14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spans="2:14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spans="2:14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2:14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spans="2:14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2:14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spans="2:14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2:14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2:14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2:14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2:14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2:14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2:14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2:14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spans="2:14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spans="2:14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2:14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spans="2:14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2:14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2:14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2:14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spans="2:14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2:14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spans="2:14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2:14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2:14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2:14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2:14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spans="2:14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2:14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2:14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spans="2:14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spans="2:14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spans="2:14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2:14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spans="2:14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2:14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2:14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2:14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2:14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2:14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2:14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2:14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2:14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2:14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2:14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2:14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2:14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2:14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2:14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spans="2:14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2:14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spans="2:14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2:14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spans="2:14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2:14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spans="2:14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2:14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spans="2:14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2:14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spans="2:14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2:14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spans="2:14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spans="2:14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spans="2:14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spans="2:14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spans="2:14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spans="2:14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2:14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spans="2:14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spans="2:14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spans="2:14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spans="2:14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spans="2:14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spans="2:14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spans="2:14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spans="2:14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2:14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spans="2:14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spans="2:14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2:14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2:14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spans="2:14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spans="2:14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2:14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2:14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2:14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spans="2:14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spans="2:14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spans="2:14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spans="2:14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2:14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spans="2:14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spans="2:14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spans="2:14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spans="2:14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spans="2:14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spans="2:14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2:14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spans="2:14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spans="2:14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spans="2:14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spans="2:14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2:14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spans="2:14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 spans="2:14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spans="2:14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spans="2:14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spans="2:14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spans="2:14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2:14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spans="2:14" x14ac:dyDescent="0.25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spans="2:14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 spans="2:14" x14ac:dyDescent="0.25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spans="2:14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spans="2:14" x14ac:dyDescent="0.25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2:14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2:14" x14ac:dyDescent="0.25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spans="2:14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 spans="2:14" x14ac:dyDescent="0.2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 spans="2:14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spans="2:14" x14ac:dyDescent="0.25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spans="2:14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spans="2:14" x14ac:dyDescent="0.25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spans="2:14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spans="2:14" x14ac:dyDescent="0.25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spans="2:14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spans="2:14" x14ac:dyDescent="0.25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spans="2:14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spans="2:14" x14ac:dyDescent="0.2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2:14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spans="2:14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spans="2:14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2:14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spans="2:14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2:14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spans="2:14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spans="2:14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spans="2:14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spans="2:14" x14ac:dyDescent="0.2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2:14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2:14" x14ac:dyDescent="0.25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spans="2:14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2:14" x14ac:dyDescent="0.25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spans="2:14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spans="2:14" x14ac:dyDescent="0.25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spans="2:14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spans="2:14" x14ac:dyDescent="0.25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2:14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spans="2:14" x14ac:dyDescent="0.2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spans="2:14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spans="2:14" x14ac:dyDescent="0.25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2:14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spans="2:14" x14ac:dyDescent="0.25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2:14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2:14" x14ac:dyDescent="0.25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2:14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spans="2:14" x14ac:dyDescent="0.25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2:14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2:14" x14ac:dyDescent="0.2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spans="2:14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2:14" x14ac:dyDescent="0.25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2:14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spans="2:14" x14ac:dyDescent="0.25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spans="2:14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2:14" x14ac:dyDescent="0.25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2:14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2:14" x14ac:dyDescent="0.25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2:14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spans="2:14" x14ac:dyDescent="0.2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2:14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2:14" x14ac:dyDescent="0.25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2:14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spans="2:14" x14ac:dyDescent="0.25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spans="2:14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2:14" x14ac:dyDescent="0.2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2:14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spans="2:14" x14ac:dyDescent="0.25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2:14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spans="2:14" x14ac:dyDescent="0.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spans="2:14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2:14" x14ac:dyDescent="0.25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2:14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spans="2:14" x14ac:dyDescent="0.25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spans="2:14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2:14" x14ac:dyDescent="0.25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spans="2:14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spans="2:14" x14ac:dyDescent="0.25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2:14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spans="2:14" x14ac:dyDescent="0.2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spans="2:14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2:14" x14ac:dyDescent="0.25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2:14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2:14" x14ac:dyDescent="0.25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spans="2:14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spans="2:14" x14ac:dyDescent="0.25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2:14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spans="2:14" x14ac:dyDescent="0.25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spans="2:14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spans="2:14" x14ac:dyDescent="0.2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spans="2:14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spans="2:14" x14ac:dyDescent="0.25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spans="2:14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2:14" x14ac:dyDescent="0.25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spans="2:14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spans="2:14" x14ac:dyDescent="0.25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2:14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2:14" x14ac:dyDescent="0.25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spans="2:14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spans="2:14" x14ac:dyDescent="0.2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spans="2:14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spans="2:14" x14ac:dyDescent="0.25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spans="2:14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spans="2:14" x14ac:dyDescent="0.25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2:14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spans="2:14" x14ac:dyDescent="0.25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spans="2:14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2:14" x14ac:dyDescent="0.25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spans="2:14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spans="2:14" x14ac:dyDescent="0.2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spans="2:14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2:14" x14ac:dyDescent="0.25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spans="2:14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spans="2:14" x14ac:dyDescent="0.25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spans="2:14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spans="2:14" x14ac:dyDescent="0.25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2:14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spans="2:14" x14ac:dyDescent="0.25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spans="2:14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spans="2:14" x14ac:dyDescent="0.2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spans="2:14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spans="2:14" x14ac:dyDescent="0.2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spans="2:14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spans="2:14" x14ac:dyDescent="0.2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2:14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2:14" x14ac:dyDescent="0.25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2:14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2:14" x14ac:dyDescent="0.25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2:14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2:14" x14ac:dyDescent="0.2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2:14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2:14" x14ac:dyDescent="0.25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2:14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2:14" x14ac:dyDescent="0.25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2:14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2:14" x14ac:dyDescent="0.25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2:14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2:14" x14ac:dyDescent="0.25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2:14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2:14" x14ac:dyDescent="0.2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2:14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2:14" x14ac:dyDescent="0.25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2:14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2:14" x14ac:dyDescent="0.25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2:14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2:14" x14ac:dyDescent="0.25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2:14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2:14" x14ac:dyDescent="0.25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2:14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2:14" x14ac:dyDescent="0.2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2:14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2:14" x14ac:dyDescent="0.25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2:14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2:14" x14ac:dyDescent="0.25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2:14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2:14" x14ac:dyDescent="0.25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2:14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2:14" x14ac:dyDescent="0.25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2:14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2:14" x14ac:dyDescent="0.2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2:14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2:14" x14ac:dyDescent="0.25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2:14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2:14" x14ac:dyDescent="0.25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2:14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2:14" x14ac:dyDescent="0.25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2:14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2:14" x14ac:dyDescent="0.25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2:14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2:14" x14ac:dyDescent="0.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2:14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2:14" x14ac:dyDescent="0.25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2:14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2:14" x14ac:dyDescent="0.25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2:14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2:14" x14ac:dyDescent="0.25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2:14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2:14" x14ac:dyDescent="0.25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2:14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2:14" x14ac:dyDescent="0.2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2:14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2:14" x14ac:dyDescent="0.25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2:14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2:14" x14ac:dyDescent="0.25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2:14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2:14" x14ac:dyDescent="0.25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2:14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2:14" x14ac:dyDescent="0.25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2:14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2:14" x14ac:dyDescent="0.2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2:14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2:14" x14ac:dyDescent="0.25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2:14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2:14" x14ac:dyDescent="0.25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2:14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2:14" x14ac:dyDescent="0.25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2:14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2:14" x14ac:dyDescent="0.25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2:14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2:14" x14ac:dyDescent="0.2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2:14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2:14" x14ac:dyDescent="0.25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2:14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2:14" x14ac:dyDescent="0.25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2:14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2:14" x14ac:dyDescent="0.25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2:14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2:14" x14ac:dyDescent="0.25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2:14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2:14" x14ac:dyDescent="0.2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2:14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2:14" x14ac:dyDescent="0.25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2:14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2:14" x14ac:dyDescent="0.25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2:14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2:14" x14ac:dyDescent="0.25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2:14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2:14" x14ac:dyDescent="0.25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2:14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2:14" x14ac:dyDescent="0.2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2:14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2:14" x14ac:dyDescent="0.25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2:14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2:14" x14ac:dyDescent="0.25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2:14" x14ac:dyDescent="0.25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2:14" x14ac:dyDescent="0.25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2:14" x14ac:dyDescent="0.25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2:14" x14ac:dyDescent="0.25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2:14" x14ac:dyDescent="0.25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2:14" x14ac:dyDescent="0.2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2:14" x14ac:dyDescent="0.25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2:14" x14ac:dyDescent="0.25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2:14" x14ac:dyDescent="0.25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2:14" x14ac:dyDescent="0.25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2:14" x14ac:dyDescent="0.25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2:14" x14ac:dyDescent="0.25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2:14" x14ac:dyDescent="0.25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2:14" x14ac:dyDescent="0.25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2:14" x14ac:dyDescent="0.25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2:14" x14ac:dyDescent="0.2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2:14" x14ac:dyDescent="0.25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2:14" x14ac:dyDescent="0.25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2:14" x14ac:dyDescent="0.25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2:14" x14ac:dyDescent="0.25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2:14" x14ac:dyDescent="0.25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2:14" x14ac:dyDescent="0.25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2:14" x14ac:dyDescent="0.25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</sheetData>
  <mergeCells count="2">
    <mergeCell ref="B1:G1"/>
    <mergeCell ref="H1:L1"/>
  </mergeCells>
  <pageMargins left="0.17" right="0.16" top="0.17" bottom="0.31" header="0.38" footer="0.48"/>
  <pageSetup scale="7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7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 x14ac:dyDescent="0.25"/>
  <cols>
    <col min="1" max="1" width="36.5703125" customWidth="1"/>
    <col min="2" max="12" width="9.7109375" style="1" customWidth="1"/>
  </cols>
  <sheetData>
    <row r="1" spans="1:21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21" s="2" customFormat="1" ht="15.75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  <c r="O2"/>
      <c r="P2" s="14"/>
      <c r="Q2" s="14"/>
      <c r="R2" s="14"/>
      <c r="S2" s="14"/>
      <c r="T2" s="14"/>
      <c r="U2" s="14"/>
    </row>
    <row r="3" spans="1:21" ht="9" customHeight="1" thickBot="1" x14ac:dyDescent="0.3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21" ht="15" customHeight="1" x14ac:dyDescent="0.25">
      <c r="A4" s="76" t="s">
        <v>145</v>
      </c>
      <c r="B4" s="112">
        <f>Financials!B7</f>
        <v>2106</v>
      </c>
      <c r="C4" s="112">
        <f>Financials!C7</f>
        <v>2992</v>
      </c>
      <c r="D4" s="112">
        <f>Financials!D7</f>
        <v>3426</v>
      </c>
      <c r="E4" s="112">
        <f>Financials!E7</f>
        <v>3317</v>
      </c>
      <c r="F4" s="112">
        <f>Financials!F7</f>
        <v>3328</v>
      </c>
      <c r="G4" s="112">
        <f>Financials!G7</f>
        <v>4903</v>
      </c>
      <c r="H4" s="267">
        <f>(Financials!H55/365)*'Working Capital'!H5</f>
        <v>3756.53753439197</v>
      </c>
      <c r="I4" s="267">
        <f>(Financials!I55/365)*'Working Capital'!I5</f>
        <v>4041.4541492974304</v>
      </c>
      <c r="J4" s="267">
        <f>(Financials!J55/365)*'Working Capital'!J5</f>
        <v>4348.1289291160665</v>
      </c>
      <c r="K4" s="267">
        <f>(Financials!K55/365)*'Working Capital'!K5</f>
        <v>4678.2338349493239</v>
      </c>
      <c r="L4" s="268">
        <f>(Financials!L55/365)*'Working Capital'!L5</f>
        <v>5033.5700258490942</v>
      </c>
      <c r="M4" s="39"/>
      <c r="P4" s="14"/>
      <c r="Q4" s="14"/>
      <c r="R4" s="14"/>
      <c r="S4" s="14"/>
      <c r="T4" s="14"/>
      <c r="U4" s="14"/>
    </row>
    <row r="5" spans="1:21" ht="15" customHeight="1" x14ac:dyDescent="0.25">
      <c r="A5" s="35" t="s">
        <v>146</v>
      </c>
      <c r="B5" s="225"/>
      <c r="C5" s="225">
        <f>Ratios!C59</f>
        <v>7.0425024600711525</v>
      </c>
      <c r="D5" s="225">
        <f>Ratios!D59</f>
        <v>7.7487976077852831</v>
      </c>
      <c r="E5" s="225">
        <f>Ratios!E59</f>
        <v>7.8181324371200036</v>
      </c>
      <c r="F5" s="225">
        <f>Ratios!F59</f>
        <v>7.9434102535550775</v>
      </c>
      <c r="G5" s="225">
        <f>Ratios!G59</f>
        <v>9.4170887821758598</v>
      </c>
      <c r="H5" s="256">
        <v>7.99</v>
      </c>
      <c r="I5" s="256">
        <v>7.99</v>
      </c>
      <c r="J5" s="256">
        <v>7.99</v>
      </c>
      <c r="K5" s="256">
        <v>7.99</v>
      </c>
      <c r="L5" s="257">
        <v>7.99</v>
      </c>
      <c r="M5" s="1"/>
      <c r="P5" s="14"/>
      <c r="Q5" s="14"/>
      <c r="R5" s="14"/>
      <c r="S5" s="14"/>
      <c r="T5" s="14"/>
      <c r="U5" s="14"/>
    </row>
    <row r="6" spans="1:21" ht="15" customHeight="1" thickBot="1" x14ac:dyDescent="0.3">
      <c r="A6" s="36" t="s">
        <v>147</v>
      </c>
      <c r="B6" s="118"/>
      <c r="C6" s="118"/>
      <c r="D6" s="118"/>
      <c r="E6" s="118"/>
      <c r="F6" s="118"/>
      <c r="G6" s="118">
        <f>AVERAGE(C5:G5)</f>
        <v>7.9939863081414755</v>
      </c>
      <c r="H6" s="40"/>
      <c r="I6" s="40"/>
      <c r="J6" s="40"/>
      <c r="K6" s="40"/>
      <c r="L6" s="41"/>
      <c r="P6" s="14"/>
      <c r="Q6" s="14"/>
      <c r="R6" s="14"/>
      <c r="S6" s="14"/>
      <c r="T6" s="14"/>
      <c r="U6" s="14"/>
    </row>
    <row r="7" spans="1:21" ht="15" customHeight="1" thickBot="1" x14ac:dyDescent="0.3">
      <c r="H7" s="12"/>
      <c r="I7" s="12"/>
      <c r="J7" s="12"/>
      <c r="K7" s="12"/>
      <c r="L7" s="12"/>
    </row>
    <row r="8" spans="1:21" ht="15" customHeight="1" x14ac:dyDescent="0.25">
      <c r="A8" s="76" t="s">
        <v>8</v>
      </c>
      <c r="B8" s="112">
        <f>Financials!B8</f>
        <v>14531</v>
      </c>
      <c r="C8" s="112">
        <f>Financials!C8</f>
        <v>16627</v>
      </c>
      <c r="D8" s="112">
        <f>Financials!D8</f>
        <v>22068</v>
      </c>
      <c r="E8" s="112">
        <f>Financials!E8</f>
        <v>24886</v>
      </c>
      <c r="F8" s="112">
        <f>Financials!F8</f>
        <v>20976</v>
      </c>
      <c r="G8" s="112">
        <f>Financials!G8</f>
        <v>23451</v>
      </c>
      <c r="H8" s="267">
        <f>Financials!H57/'Working Capital'!H9</f>
        <v>23277.426064154854</v>
      </c>
      <c r="I8" s="267">
        <f>Financials!I57/'Working Capital'!I9</f>
        <v>25042.914995702187</v>
      </c>
      <c r="J8" s="267">
        <f>Financials!J57/'Working Capital'!J9</f>
        <v>26943.228634954754</v>
      </c>
      <c r="K8" s="267">
        <f>Financials!K57/'Working Capital'!K9</f>
        <v>28988.727307229343</v>
      </c>
      <c r="L8" s="268">
        <f>Financials!L57/'Working Capital'!L9</f>
        <v>31190.571914360797</v>
      </c>
    </row>
    <row r="9" spans="1:21" ht="15" customHeight="1" x14ac:dyDescent="0.25">
      <c r="A9" s="35" t="s">
        <v>148</v>
      </c>
      <c r="B9" s="225"/>
      <c r="C9" s="225">
        <f>Ratios!C66</f>
        <v>5.6009371589960848</v>
      </c>
      <c r="D9" s="225">
        <f>Ratios!D66</f>
        <v>5.1854244734461821</v>
      </c>
      <c r="E9" s="225">
        <f>Ratios!E66</f>
        <v>4.4564893299825359</v>
      </c>
      <c r="F9" s="225">
        <f>Ratios!F66</f>
        <v>4.4354367450176619</v>
      </c>
      <c r="G9" s="225">
        <f>Ratios!G66</f>
        <v>4.7811466000405156</v>
      </c>
      <c r="H9" s="256">
        <v>4.8899999999999997</v>
      </c>
      <c r="I9" s="256">
        <v>4.8899999999999997</v>
      </c>
      <c r="J9" s="256">
        <v>4.8899999999999997</v>
      </c>
      <c r="K9" s="256">
        <v>4.8899999999999997</v>
      </c>
      <c r="L9" s="257">
        <v>4.8899999999999997</v>
      </c>
      <c r="M9" s="1"/>
    </row>
    <row r="10" spans="1:21" ht="15" customHeight="1" thickBot="1" x14ac:dyDescent="0.3">
      <c r="A10" s="36" t="s">
        <v>147</v>
      </c>
      <c r="B10" s="118"/>
      <c r="C10" s="118"/>
      <c r="D10" s="118"/>
      <c r="E10" s="118"/>
      <c r="F10" s="118"/>
      <c r="G10" s="118">
        <f>AVERAGE(C9:G9)</f>
        <v>4.8918868614965962</v>
      </c>
      <c r="H10" s="40"/>
      <c r="I10" s="40"/>
      <c r="J10" s="40"/>
      <c r="K10" s="40"/>
      <c r="L10" s="41"/>
    </row>
    <row r="11" spans="1:21" ht="15" customHeight="1" thickBot="1" x14ac:dyDescent="0.3">
      <c r="H11" s="12"/>
      <c r="I11" s="12"/>
      <c r="J11" s="12"/>
      <c r="K11" s="12"/>
      <c r="L11" s="12"/>
    </row>
    <row r="12" spans="1:21" ht="15" customHeight="1" x14ac:dyDescent="0.25">
      <c r="A12" s="76" t="s">
        <v>9</v>
      </c>
      <c r="B12" s="112">
        <f>Financials!B9</f>
        <v>1040</v>
      </c>
      <c r="C12" s="112">
        <f>Financials!C9</f>
        <v>963</v>
      </c>
      <c r="D12" s="112">
        <f>Financials!D9</f>
        <v>1218</v>
      </c>
      <c r="E12" s="112">
        <f>Financials!E9</f>
        <v>1511</v>
      </c>
      <c r="F12" s="112">
        <f>Financials!F9</f>
        <v>1711</v>
      </c>
      <c r="G12" s="112">
        <f>Financials!G9</f>
        <v>1670</v>
      </c>
      <c r="H12" s="273">
        <f>Financials!H55*'Working Capital'!H13</f>
        <v>1595.9407585098299</v>
      </c>
      <c r="I12" s="273">
        <f>Financials!I55*'Working Capital'!I13</f>
        <v>1716.9857459061484</v>
      </c>
      <c r="J12" s="273">
        <f>Financials!J55*'Working Capital'!J13</f>
        <v>1847.2745494223386</v>
      </c>
      <c r="K12" s="273">
        <f>Financials!K55*'Working Capital'!K13</f>
        <v>1987.517490955629</v>
      </c>
      <c r="L12" s="276">
        <f>Financials!L55*'Working Capital'!L13</f>
        <v>2138.4797813197433</v>
      </c>
      <c r="P12" s="14"/>
      <c r="Q12" s="14"/>
      <c r="R12" s="14"/>
      <c r="S12" s="14"/>
      <c r="T12" s="14"/>
      <c r="U12" s="14"/>
    </row>
    <row r="13" spans="1:21" ht="15" customHeight="1" thickBot="1" x14ac:dyDescent="0.3">
      <c r="A13" s="36" t="s">
        <v>149</v>
      </c>
      <c r="B13" s="116">
        <f>B12/Financials!B55</f>
        <v>9.4352460875481974E-3</v>
      </c>
      <c r="C13" s="116">
        <f>C12/Financials!C55</f>
        <v>7.2893800620694874E-3</v>
      </c>
      <c r="D13" s="116">
        <f>D12/Financials!D55</f>
        <v>8.057847139067327E-3</v>
      </c>
      <c r="E13" s="116">
        <f>E12/Financials!E55</f>
        <v>9.5995629054084104E-3</v>
      </c>
      <c r="F13" s="116">
        <f>F12/Financials!F55</f>
        <v>1.1207252290903851E-2</v>
      </c>
      <c r="G13" s="116">
        <f>G12/Financials!G55</f>
        <v>1.046930050026957E-2</v>
      </c>
      <c r="H13" s="277">
        <v>9.2999999999999992E-3</v>
      </c>
      <c r="I13" s="277">
        <v>9.2999999999999992E-3</v>
      </c>
      <c r="J13" s="277">
        <v>9.2999999999999992E-3</v>
      </c>
      <c r="K13" s="277">
        <v>9.2999999999999992E-3</v>
      </c>
      <c r="L13" s="278">
        <v>9.2999999999999992E-3</v>
      </c>
      <c r="P13" s="14"/>
      <c r="Q13" s="14"/>
      <c r="R13" s="14"/>
      <c r="S13" s="14"/>
      <c r="T13" s="14"/>
      <c r="U13" s="14"/>
    </row>
    <row r="14" spans="1:21" ht="15" customHeight="1" thickBot="1" x14ac:dyDescent="0.3">
      <c r="A14" s="36" t="s">
        <v>147</v>
      </c>
      <c r="B14" s="116"/>
      <c r="C14" s="116"/>
      <c r="D14" s="116"/>
      <c r="E14" s="116"/>
      <c r="F14" s="116"/>
      <c r="G14" s="116">
        <f>AVERAGE(C13:G13)</f>
        <v>9.3246685795437285E-3</v>
      </c>
      <c r="H14" s="40"/>
      <c r="I14" s="40"/>
      <c r="J14" s="40"/>
      <c r="K14" s="40"/>
      <c r="L14" s="41"/>
      <c r="P14" s="14"/>
      <c r="Q14" s="14"/>
      <c r="R14" s="14"/>
      <c r="S14" s="14"/>
      <c r="T14" s="14"/>
      <c r="U14" s="14"/>
    </row>
    <row r="15" spans="1:21" ht="15" customHeight="1" thickBot="1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O15" s="8"/>
      <c r="P15" s="14"/>
      <c r="Q15" s="14"/>
      <c r="R15" s="14"/>
      <c r="S15" s="14"/>
      <c r="T15" s="14"/>
      <c r="U15" s="14"/>
    </row>
    <row r="16" spans="1:21" ht="15" customHeight="1" x14ac:dyDescent="0.25">
      <c r="A16" s="76" t="s">
        <v>19</v>
      </c>
      <c r="B16" s="112">
        <f>Financials!B22</f>
        <v>7787</v>
      </c>
      <c r="C16" s="112">
        <f>Financials!C22</f>
        <v>11606</v>
      </c>
      <c r="D16" s="112">
        <f>Financials!D22</f>
        <v>13462</v>
      </c>
      <c r="E16" s="112">
        <f>Financials!E22</f>
        <v>11443</v>
      </c>
      <c r="F16" s="112">
        <f>Financials!F22</f>
        <v>10037</v>
      </c>
      <c r="G16" s="112">
        <f>Financials!G22</f>
        <v>11938</v>
      </c>
      <c r="H16" s="267">
        <f>((Financials!H57+Financials!H62)/365)*H17</f>
        <v>12861.805757094169</v>
      </c>
      <c r="I16" s="267">
        <f>((Financials!I57+Financials!I62)/365)*I17</f>
        <v>13837.316350115829</v>
      </c>
      <c r="J16" s="267">
        <f>((Financials!J57+Financials!J62)/365)*J17</f>
        <v>14887.323547572292</v>
      </c>
      <c r="K16" s="267">
        <f>((Financials!K57+Financials!K62)/365)*K17</f>
        <v>16017.551886679896</v>
      </c>
      <c r="L16" s="268">
        <f>((Financials!L57+Financials!L62)/365)*L17</f>
        <v>17234.168258532103</v>
      </c>
      <c r="O16" s="8"/>
      <c r="P16" s="14"/>
      <c r="Q16" s="14"/>
      <c r="R16" s="14"/>
      <c r="S16" s="14"/>
      <c r="T16" s="14"/>
      <c r="U16" s="14"/>
    </row>
    <row r="17" spans="1:21" ht="15" customHeight="1" x14ac:dyDescent="0.25">
      <c r="A17" s="35" t="s">
        <v>150</v>
      </c>
      <c r="B17" s="225"/>
      <c r="C17" s="225">
        <f>Ratios!C81</f>
        <v>31.683937012103414</v>
      </c>
      <c r="D17" s="225">
        <f>Ratios!D81</f>
        <v>36.386491795977122</v>
      </c>
      <c r="E17" s="225">
        <f>Ratios!E81</f>
        <v>34.720015430566271</v>
      </c>
      <c r="F17" s="225">
        <f>Ratios!F81</f>
        <v>30.552502981131191</v>
      </c>
      <c r="G17" s="225">
        <f>Ratios!G81</f>
        <v>29.717070260977813</v>
      </c>
      <c r="H17" s="256">
        <v>32.61</v>
      </c>
      <c r="I17" s="256">
        <v>32.61</v>
      </c>
      <c r="J17" s="256">
        <v>32.61</v>
      </c>
      <c r="K17" s="256">
        <v>32.61</v>
      </c>
      <c r="L17" s="257">
        <v>32.61</v>
      </c>
      <c r="O17" s="6"/>
      <c r="P17" s="14"/>
      <c r="Q17" s="14"/>
      <c r="R17" s="14"/>
      <c r="S17" s="14"/>
      <c r="T17" s="14"/>
      <c r="U17" s="14"/>
    </row>
    <row r="18" spans="1:21" ht="15" customHeight="1" thickBot="1" x14ac:dyDescent="0.3">
      <c r="A18" s="36" t="s">
        <v>147</v>
      </c>
      <c r="B18" s="118"/>
      <c r="C18" s="118"/>
      <c r="D18" s="118"/>
      <c r="E18" s="118"/>
      <c r="F18" s="118"/>
      <c r="G18" s="118">
        <f>AVERAGE(C17:G17)</f>
        <v>32.612003496151161</v>
      </c>
      <c r="H18" s="40"/>
      <c r="I18" s="40"/>
      <c r="J18" s="40"/>
      <c r="K18" s="40"/>
      <c r="L18" s="41"/>
      <c r="P18" s="14"/>
      <c r="Q18" s="14"/>
      <c r="R18" s="14"/>
      <c r="S18" s="14"/>
      <c r="T18" s="14"/>
      <c r="U18" s="14"/>
    </row>
    <row r="19" spans="1:21" ht="15" customHeight="1" thickBot="1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P19" s="14"/>
      <c r="Q19" s="14"/>
      <c r="R19" s="14"/>
      <c r="S19" s="14"/>
      <c r="T19" s="14"/>
      <c r="U19" s="14"/>
    </row>
    <row r="20" spans="1:21" ht="15" customHeight="1" x14ac:dyDescent="0.25">
      <c r="A20" s="76" t="s">
        <v>20</v>
      </c>
      <c r="B20" s="112">
        <f>Financials!B23</f>
        <v>1494</v>
      </c>
      <c r="C20" s="112">
        <f>Financials!C23</f>
        <v>2463</v>
      </c>
      <c r="D20" s="112">
        <f>Financials!D23</f>
        <v>2426</v>
      </c>
      <c r="E20" s="112">
        <f>Financials!E23</f>
        <v>1991</v>
      </c>
      <c r="F20" s="112">
        <f>Financials!F23</f>
        <v>2096</v>
      </c>
      <c r="G20" s="112">
        <f>Financials!G23</f>
        <v>2315</v>
      </c>
      <c r="H20" s="267">
        <f>(Financials!H57+Financials!H62)*H21</f>
        <v>2591.2929722204444</v>
      </c>
      <c r="I20" s="267">
        <f>(Financials!I57+Financials!I62)*I21</f>
        <v>2787.8309849819379</v>
      </c>
      <c r="J20" s="267">
        <f>(Financials!J57+Financials!J62)*J21</f>
        <v>2999.3779732459352</v>
      </c>
      <c r="K20" s="267">
        <f>(Financials!K57+Financials!K62)*K21</f>
        <v>3227.0872706374398</v>
      </c>
      <c r="L20" s="268">
        <f>(Financials!L57+Financials!L62)*L21</f>
        <v>3472.201332675741</v>
      </c>
      <c r="P20" s="14"/>
      <c r="Q20" s="14"/>
      <c r="R20" s="14"/>
      <c r="S20" s="14"/>
      <c r="T20" s="14"/>
      <c r="U20" s="14"/>
    </row>
    <row r="21" spans="1:21" ht="15" customHeight="1" thickBot="1" x14ac:dyDescent="0.3">
      <c r="A21" s="35" t="s">
        <v>151</v>
      </c>
      <c r="B21" s="116">
        <f>B20/(Financials!B57+Financials!B62)</f>
        <v>1.6170056173086707E-2</v>
      </c>
      <c r="C21" s="116">
        <f>C20/(Financials!C57+Financials!C62)</f>
        <v>2.2049344696698416E-2</v>
      </c>
      <c r="D21" s="116">
        <f>D20/(Financials!D57+Financials!D62)</f>
        <v>1.9295161893248283E-2</v>
      </c>
      <c r="E21" s="116">
        <f>E20/(Financials!E57+Financials!E62)</f>
        <v>1.5209038339609958E-2</v>
      </c>
      <c r="F21" s="116">
        <f>F20/(Financials!F57+Financials!F62)</f>
        <v>1.633581955777939E-2</v>
      </c>
      <c r="G21" s="116">
        <f>G20/(Financials!G57+Financials!G62)</f>
        <v>1.7153993212502036E-2</v>
      </c>
      <c r="H21" s="272">
        <v>1.7999999999999999E-2</v>
      </c>
      <c r="I21" s="272">
        <v>1.7999999999999999E-2</v>
      </c>
      <c r="J21" s="272">
        <v>1.7999999999999999E-2</v>
      </c>
      <c r="K21" s="272">
        <v>1.7999999999999999E-2</v>
      </c>
      <c r="L21" s="279">
        <v>1.7999999999999999E-2</v>
      </c>
      <c r="P21" s="14"/>
      <c r="Q21" s="14"/>
      <c r="R21" s="14"/>
      <c r="S21" s="14"/>
      <c r="T21" s="14"/>
      <c r="U21" s="14"/>
    </row>
    <row r="22" spans="1:21" ht="15" customHeight="1" thickBot="1" x14ac:dyDescent="0.3">
      <c r="A22" s="36" t="s">
        <v>147</v>
      </c>
      <c r="B22" s="116"/>
      <c r="C22" s="116"/>
      <c r="D22" s="116"/>
      <c r="E22" s="116"/>
      <c r="F22" s="116"/>
      <c r="G22" s="116">
        <f>AVERAGE(C21:G21)</f>
        <v>1.8008671539967616E-2</v>
      </c>
      <c r="H22" s="40"/>
      <c r="I22" s="40"/>
      <c r="J22" s="40"/>
      <c r="K22" s="40"/>
      <c r="L22" s="41"/>
      <c r="P22" s="14"/>
      <c r="Q22" s="14"/>
      <c r="R22" s="14"/>
      <c r="S22" s="14"/>
      <c r="T22" s="14"/>
      <c r="U22" s="14"/>
    </row>
    <row r="23" spans="1:21" ht="15" customHeight="1" thickBot="1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21" ht="15" customHeight="1" x14ac:dyDescent="0.25">
      <c r="A24" s="76" t="s">
        <v>21</v>
      </c>
      <c r="B24" s="112">
        <f>Financials!B24</f>
        <v>605</v>
      </c>
      <c r="C24" s="112">
        <f>Financials!C24</f>
        <v>774</v>
      </c>
      <c r="D24" s="112">
        <f>Financials!D24</f>
        <v>848</v>
      </c>
      <c r="E24" s="112">
        <f>Financials!E24</f>
        <v>528</v>
      </c>
      <c r="F24" s="112">
        <f>Financials!F24</f>
        <v>449</v>
      </c>
      <c r="G24" s="112">
        <f>Financials!G24</f>
        <v>628</v>
      </c>
      <c r="H24" s="267">
        <f>Financials!H55*'Working Capital'!H25</f>
        <v>737.90809264433005</v>
      </c>
      <c r="I24" s="267">
        <f>Financials!I55*'Working Capital'!I25</f>
        <v>793.87512982757414</v>
      </c>
      <c r="J24" s="267">
        <f>Financials!J55*'Working Capital'!J25</f>
        <v>854.11618951785556</v>
      </c>
      <c r="K24" s="267">
        <f>Financials!K55*'Working Capital'!K25</f>
        <v>918.95970011926943</v>
      </c>
      <c r="L24" s="268">
        <f>Financials!L55*'Working Capital'!L25</f>
        <v>988.75946878224704</v>
      </c>
      <c r="P24" s="14"/>
      <c r="Q24" s="14"/>
      <c r="R24" s="14"/>
      <c r="S24" s="14"/>
      <c r="T24" s="14"/>
      <c r="U24" s="14"/>
    </row>
    <row r="25" spans="1:21" ht="15" customHeight="1" x14ac:dyDescent="0.25">
      <c r="A25" s="35" t="s">
        <v>149</v>
      </c>
      <c r="B25" s="102">
        <f>B24/Financials!B55</f>
        <v>5.4887729643910187E-3</v>
      </c>
      <c r="C25" s="102">
        <f>C24/Financials!C55</f>
        <v>5.8587540685792142E-3</v>
      </c>
      <c r="D25" s="102">
        <f>D24/Financials!D55</f>
        <v>5.6100610623391577E-3</v>
      </c>
      <c r="E25" s="102">
        <f>E24/Financials!E55</f>
        <v>3.35444686568871E-3</v>
      </c>
      <c r="F25" s="102">
        <f>F24/Financials!F55</f>
        <v>2.9410030851056861E-3</v>
      </c>
      <c r="G25" s="102">
        <f>G24/Financials!G55</f>
        <v>3.9369585114786164E-3</v>
      </c>
      <c r="H25" s="272">
        <v>4.3E-3</v>
      </c>
      <c r="I25" s="272">
        <v>4.3E-3</v>
      </c>
      <c r="J25" s="272">
        <v>4.3E-3</v>
      </c>
      <c r="K25" s="272">
        <v>4.3E-3</v>
      </c>
      <c r="L25" s="279">
        <v>4.3E-3</v>
      </c>
    </row>
    <row r="26" spans="1:21" ht="15" customHeight="1" thickBot="1" x14ac:dyDescent="0.3">
      <c r="A26" s="36" t="s">
        <v>147</v>
      </c>
      <c r="B26" s="115"/>
      <c r="C26" s="115"/>
      <c r="D26" s="115"/>
      <c r="E26" s="115"/>
      <c r="F26" s="115"/>
      <c r="G26" s="115">
        <f>AVERAGE(C25:G25)</f>
        <v>4.3402447186382774E-3</v>
      </c>
      <c r="H26" s="40"/>
      <c r="I26" s="40"/>
      <c r="J26" s="40"/>
      <c r="K26" s="40"/>
      <c r="L26" s="41"/>
      <c r="P26" s="14"/>
      <c r="Q26" s="14"/>
      <c r="R26" s="14"/>
      <c r="S26" s="14"/>
      <c r="T26" s="14"/>
      <c r="U26" s="14"/>
    </row>
    <row r="27" spans="1:21" ht="15" customHeight="1" thickBot="1" x14ac:dyDescent="0.3">
      <c r="B27" s="69"/>
      <c r="C27" s="69"/>
      <c r="D27" s="69"/>
      <c r="E27" s="69"/>
      <c r="F27" s="69"/>
      <c r="G27" s="69"/>
      <c r="H27" s="12"/>
      <c r="I27" s="12"/>
      <c r="J27" s="12"/>
      <c r="K27" s="12"/>
      <c r="L27" s="12"/>
      <c r="P27" s="14"/>
      <c r="Q27" s="14"/>
      <c r="R27" s="14"/>
      <c r="S27" s="14"/>
      <c r="T27" s="14"/>
      <c r="U27" s="14"/>
    </row>
    <row r="28" spans="1:21" ht="15" customHeight="1" x14ac:dyDescent="0.25">
      <c r="A28" s="76" t="s">
        <v>22</v>
      </c>
      <c r="B28" s="112">
        <f>Financials!B25</f>
        <v>2116</v>
      </c>
      <c r="C28" s="112">
        <f>Financials!C25</f>
        <v>2823</v>
      </c>
      <c r="D28" s="112">
        <f>Financials!D25</f>
        <v>3596</v>
      </c>
      <c r="E28" s="112">
        <f>Financials!E25</f>
        <v>3064</v>
      </c>
      <c r="F28" s="112">
        <f>Financials!F25</f>
        <v>2762</v>
      </c>
      <c r="G28" s="112">
        <f>Financials!G25</f>
        <v>2610</v>
      </c>
      <c r="H28" s="267">
        <f>Financials!H55*'Working Capital'!H29</f>
        <v>3397.8093568273803</v>
      </c>
      <c r="I28" s="267">
        <f>Financials!I55*'Working Capital'!I29</f>
        <v>3655.5180396711553</v>
      </c>
      <c r="J28" s="267">
        <f>Financials!J55*'Working Capital'!J29</f>
        <v>3932.9071052217537</v>
      </c>
      <c r="K28" s="267">
        <f>Financials!K55*'Working Capital'!K29</f>
        <v>4231.4888517119853</v>
      </c>
      <c r="L28" s="268">
        <f>Financials!L55*'Working Capital'!L29</f>
        <v>4552.8924376484865</v>
      </c>
      <c r="P28" s="14"/>
      <c r="Q28" s="14"/>
      <c r="R28" s="14"/>
      <c r="S28" s="14"/>
      <c r="T28" s="14"/>
      <c r="U28" s="14"/>
    </row>
    <row r="29" spans="1:21" ht="15" customHeight="1" x14ac:dyDescent="0.25">
      <c r="A29" s="35" t="s">
        <v>149</v>
      </c>
      <c r="B29" s="102">
        <f>B28/Financials!B55</f>
        <v>1.9197096847357677E-2</v>
      </c>
      <c r="C29" s="102">
        <f>C28/Financials!C55</f>
        <v>2.1368556505942018E-2</v>
      </c>
      <c r="D29" s="102">
        <f>D28/Financials!D55</f>
        <v>2.3789834410579729E-2</v>
      </c>
      <c r="E29" s="102">
        <f>E28/Financials!E55</f>
        <v>1.9465956811496606E-2</v>
      </c>
      <c r="F29" s="102">
        <f>F28/Financials!F55</f>
        <v>1.8091426550249232E-2</v>
      </c>
      <c r="G29" s="102">
        <f>G28/Financials!G55</f>
        <v>1.6362200183056032E-2</v>
      </c>
      <c r="H29" s="272">
        <v>1.9800000000000002E-2</v>
      </c>
      <c r="I29" s="272">
        <v>1.9800000000000002E-2</v>
      </c>
      <c r="J29" s="272">
        <v>1.9800000000000002E-2</v>
      </c>
      <c r="K29" s="272">
        <v>1.9800000000000002E-2</v>
      </c>
      <c r="L29" s="279">
        <v>1.9800000000000002E-2</v>
      </c>
      <c r="P29" s="14"/>
      <c r="Q29" s="14"/>
      <c r="R29" s="14"/>
      <c r="S29" s="14"/>
      <c r="T29" s="14"/>
      <c r="U29" s="14"/>
    </row>
    <row r="30" spans="1:21" ht="15" customHeight="1" thickBot="1" x14ac:dyDescent="0.3">
      <c r="A30" s="36" t="s">
        <v>152</v>
      </c>
      <c r="B30" s="115"/>
      <c r="C30" s="115"/>
      <c r="D30" s="115"/>
      <c r="E30" s="115"/>
      <c r="F30" s="115"/>
      <c r="G30" s="115">
        <f>AVERAGE(C29:G29)</f>
        <v>1.9815594892264723E-2</v>
      </c>
      <c r="H30" s="40"/>
      <c r="I30" s="40"/>
      <c r="J30" s="40"/>
      <c r="K30" s="40"/>
      <c r="L30" s="41"/>
      <c r="P30" s="14"/>
      <c r="Q30" s="14"/>
      <c r="R30" s="14"/>
      <c r="S30" s="14"/>
      <c r="T30" s="14"/>
      <c r="U30" s="14"/>
    </row>
    <row r="31" spans="1:21" ht="15" customHeight="1" thickBot="1" x14ac:dyDescent="0.3">
      <c r="B31" s="14"/>
      <c r="C31" s="14"/>
      <c r="D31" s="14"/>
      <c r="E31" s="14"/>
      <c r="F31" s="14"/>
      <c r="G31" s="14"/>
      <c r="H31" s="12"/>
      <c r="I31" s="12"/>
      <c r="J31" s="12"/>
      <c r="K31" s="12"/>
      <c r="L31" s="12"/>
    </row>
    <row r="32" spans="1:21" ht="15" customHeight="1" x14ac:dyDescent="0.25">
      <c r="A32" s="76" t="s">
        <v>23</v>
      </c>
      <c r="B32" s="112">
        <f>Financials!B26</f>
        <v>55</v>
      </c>
      <c r="C32" s="112">
        <f>Financials!C26</f>
        <v>193</v>
      </c>
      <c r="D32" s="112">
        <f>Financials!D26</f>
        <v>158</v>
      </c>
      <c r="E32" s="112">
        <f>Financials!E26</f>
        <v>50</v>
      </c>
      <c r="F32" s="112">
        <f>Financials!F26</f>
        <v>28</v>
      </c>
      <c r="G32" s="112">
        <f>Financials!G26</f>
        <v>832</v>
      </c>
      <c r="H32" s="39">
        <f>Financials!H77*'Working Capital'!H33</f>
        <v>289.79898577556196</v>
      </c>
      <c r="I32" s="39">
        <f>Financials!I77*'Working Capital'!I33</f>
        <v>316.50851165770428</v>
      </c>
      <c r="J32" s="39">
        <f>Financials!J77*'Working Capital'!J33</f>
        <v>345.84095304870726</v>
      </c>
      <c r="K32" s="39">
        <f>Financials!K77*'Working Capital'!K33</f>
        <v>374.17873372112649</v>
      </c>
      <c r="L32" s="45">
        <f>Financials!L77*'Working Capital'!L33</f>
        <v>402.00634712532758</v>
      </c>
      <c r="P32" s="14"/>
      <c r="Q32" s="14"/>
      <c r="R32" s="14"/>
      <c r="S32" s="14"/>
      <c r="T32" s="14"/>
      <c r="U32" s="14"/>
    </row>
    <row r="33" spans="1:21" ht="15" customHeight="1" x14ac:dyDescent="0.25">
      <c r="A33" s="35" t="s">
        <v>153</v>
      </c>
      <c r="B33" s="102">
        <f>B32/Financials!B77</f>
        <v>1.5836452634609848E-2</v>
      </c>
      <c r="C33" s="102">
        <f>C32/Financials!C77</f>
        <v>4.693579766536965E-2</v>
      </c>
      <c r="D33" s="102">
        <f>D32/Financials!D77</f>
        <v>2.9788838612368026E-2</v>
      </c>
      <c r="E33" s="102">
        <f>E32/Financials!E77</f>
        <v>9.3075204765450479E-3</v>
      </c>
      <c r="F33" s="102">
        <f>F32/Financials!F77</f>
        <v>5.8565153733528552E-3</v>
      </c>
      <c r="G33" s="102">
        <f>G32/Financials!G77</f>
        <v>0.18086956521739131</v>
      </c>
      <c r="H33" s="272">
        <v>5.4600000000000003E-2</v>
      </c>
      <c r="I33" s="272">
        <v>5.4600000000000003E-2</v>
      </c>
      <c r="J33" s="272">
        <v>5.4600000000000003E-2</v>
      </c>
      <c r="K33" s="272">
        <v>5.4600000000000003E-2</v>
      </c>
      <c r="L33" s="279">
        <v>5.4600000000000003E-2</v>
      </c>
      <c r="P33" s="14"/>
      <c r="Q33" s="14"/>
      <c r="R33" s="14"/>
      <c r="S33" s="14"/>
      <c r="T33" s="14"/>
      <c r="U33" s="14"/>
    </row>
    <row r="34" spans="1:21" ht="15" customHeight="1" thickBot="1" x14ac:dyDescent="0.3">
      <c r="A34" s="36" t="s">
        <v>147</v>
      </c>
      <c r="B34" s="115"/>
      <c r="C34" s="115"/>
      <c r="D34" s="115"/>
      <c r="E34" s="115"/>
      <c r="F34" s="115"/>
      <c r="G34" s="115">
        <f>AVERAGE(C33:G33)</f>
        <v>5.4551647469005385E-2</v>
      </c>
      <c r="H34" s="40"/>
      <c r="I34" s="40"/>
      <c r="J34" s="40"/>
      <c r="K34" s="40"/>
      <c r="L34" s="41"/>
      <c r="P34" s="14"/>
      <c r="Q34" s="14"/>
      <c r="R34" s="14"/>
      <c r="S34" s="14"/>
      <c r="T34" s="14"/>
      <c r="U34" s="14"/>
    </row>
    <row r="35" spans="1:21" ht="15" customHeight="1" thickBot="1" x14ac:dyDescent="0.3">
      <c r="B35" s="14"/>
      <c r="C35" s="14"/>
      <c r="D35" s="14"/>
      <c r="E35" s="14"/>
      <c r="F35" s="14"/>
      <c r="G35" s="14"/>
      <c r="H35" s="12"/>
      <c r="I35" s="12"/>
      <c r="J35" s="12"/>
      <c r="K35" s="12"/>
      <c r="L35" s="12"/>
      <c r="P35" s="14"/>
      <c r="Q35" s="14"/>
      <c r="R35" s="14"/>
      <c r="S35" s="14"/>
      <c r="T35" s="14"/>
      <c r="U35" s="14"/>
    </row>
    <row r="36" spans="1:21" ht="15" customHeight="1" x14ac:dyDescent="0.25">
      <c r="A36" s="76" t="s">
        <v>26</v>
      </c>
      <c r="B36" s="112">
        <f>Financials!B29</f>
        <v>2677</v>
      </c>
      <c r="C36" s="112">
        <f>Financials!C29</f>
        <v>3063</v>
      </c>
      <c r="D36" s="112">
        <f>Financials!D29</f>
        <v>3891</v>
      </c>
      <c r="E36" s="112">
        <f>Financials!E29</f>
        <v>3858</v>
      </c>
      <c r="F36" s="112">
        <f>Financials!F29</f>
        <v>4225</v>
      </c>
      <c r="G36" s="112">
        <f>Financials!G29</f>
        <v>4166</v>
      </c>
      <c r="H36" s="267">
        <f>Financials!H55*'Working Capital'!H37</f>
        <v>4358.8059425967404</v>
      </c>
      <c r="I36" s="267">
        <f>Financials!I55*'Working Capital'!I37</f>
        <v>4689.4019296791585</v>
      </c>
      <c r="J36" s="267">
        <f>Financials!J55*'Working Capital'!J37</f>
        <v>5045.2444683147742</v>
      </c>
      <c r="K36" s="267">
        <f>Financials!K55*'Working Capital'!K37</f>
        <v>5428.2735774487073</v>
      </c>
      <c r="L36" s="268">
        <f>Financials!L55*'Working Capital'!L37</f>
        <v>5840.5791876904823</v>
      </c>
      <c r="P36" s="14"/>
      <c r="Q36" s="14"/>
      <c r="R36" s="14"/>
      <c r="S36" s="14"/>
      <c r="T36" s="14"/>
      <c r="U36" s="14"/>
    </row>
    <row r="37" spans="1:21" ht="15" customHeight="1" x14ac:dyDescent="0.25">
      <c r="A37" s="35" t="s">
        <v>149</v>
      </c>
      <c r="B37" s="102">
        <f>B36/Financials!B55</f>
        <v>2.4286686323429348E-2</v>
      </c>
      <c r="C37" s="102">
        <f>C36/Financials!C55</f>
        <v>2.3185224434183634E-2</v>
      </c>
      <c r="D37" s="102">
        <f>D36/Financials!D55</f>
        <v>2.5741447633917051E-2</v>
      </c>
      <c r="E37" s="102">
        <f>E36/Financials!E55</f>
        <v>2.451033334815728E-2</v>
      </c>
      <c r="F37" s="102">
        <f>F36/Financials!F55</f>
        <v>2.767424952020384E-2</v>
      </c>
      <c r="G37" s="102">
        <f>G36/Financials!G55</f>
        <v>2.6116829870732348E-2</v>
      </c>
      <c r="H37" s="272">
        <v>2.5399999999999999E-2</v>
      </c>
      <c r="I37" s="272">
        <v>2.5399999999999999E-2</v>
      </c>
      <c r="J37" s="272">
        <v>2.5399999999999999E-2</v>
      </c>
      <c r="K37" s="272">
        <v>2.5399999999999999E-2</v>
      </c>
      <c r="L37" s="279">
        <v>2.5399999999999999E-2</v>
      </c>
      <c r="P37" s="14"/>
      <c r="Q37" s="14"/>
      <c r="R37" s="14"/>
      <c r="S37" s="14"/>
      <c r="T37" s="14"/>
      <c r="U37" s="14"/>
    </row>
    <row r="38" spans="1:21" ht="15" customHeight="1" thickBot="1" x14ac:dyDescent="0.3">
      <c r="A38" s="36" t="s">
        <v>152</v>
      </c>
      <c r="B38" s="115"/>
      <c r="C38" s="115"/>
      <c r="D38" s="115"/>
      <c r="E38" s="115"/>
      <c r="F38" s="115"/>
      <c r="G38" s="115">
        <f>AVERAGE(C37:G37)</f>
        <v>2.5445616961438829E-2</v>
      </c>
      <c r="H38" s="40"/>
      <c r="I38" s="40"/>
      <c r="J38" s="40"/>
      <c r="K38" s="40"/>
      <c r="L38" s="41"/>
      <c r="P38" s="14"/>
      <c r="Q38" s="14"/>
      <c r="R38" s="14"/>
      <c r="S38" s="14"/>
      <c r="T38" s="14"/>
      <c r="U38" s="14"/>
    </row>
    <row r="39" spans="1:21" ht="15" customHeight="1" x14ac:dyDescent="0.25">
      <c r="B39" s="14"/>
      <c r="C39" s="14"/>
      <c r="D39" s="14"/>
      <c r="E39" s="14"/>
      <c r="F39" s="14"/>
      <c r="G39" s="14"/>
      <c r="H39" s="12"/>
      <c r="I39" s="12"/>
      <c r="J39" s="12"/>
      <c r="K39" s="12"/>
      <c r="L39" s="12"/>
    </row>
    <row r="40" spans="1:21" ht="15" customHeight="1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21" ht="15" customHeight="1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21" ht="15" customHeight="1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21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21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21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21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21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21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2:12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2:12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2:12" x14ac:dyDescent="0.2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2:12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2:12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2:12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2:12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2:12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2:12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2:12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2:12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2:12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2:12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2:12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2:12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2:12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2:12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2:12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2:12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2:12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2:12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2:12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2:12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2:12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2:12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2:12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2:12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2:12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2:12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2:12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2:12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2:12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2:12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2:12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2:12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2:12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2:12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2:12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2:12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2:12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2:12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2:12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2:12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2:12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2:12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2:12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2:12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2:12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2:12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2:12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2:12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2:12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2:12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2:12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2:12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2:12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2:12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2:12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2:12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2:12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2:12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2:12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2:12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2:12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2:12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2:12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2:12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2:12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2:12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2:12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2:12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2:12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2:12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2:12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2:12" x14ac:dyDescent="0.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2:12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2:12" x14ac:dyDescent="0.25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2:12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2:12" x14ac:dyDescent="0.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2:12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2:12" x14ac:dyDescent="0.25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2:12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2:12" x14ac:dyDescent="0.2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2:12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2:12" x14ac:dyDescent="0.2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2:12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2:12" x14ac:dyDescent="0.25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2:12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2:12" x14ac:dyDescent="0.25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2:12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2:12" x14ac:dyDescent="0.25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2:12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2:12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2:12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2:12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2:12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2:12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2:12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2:12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2:12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2:12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2:12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2:12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2:12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2:12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2:12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2:12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2:12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2:12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2:12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2:12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2:12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2:12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2:12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2:12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2:12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2:12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2:12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2:12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2:12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2:12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2:12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2:12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2:12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2:12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2:12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2:12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2:12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2:12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2:12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2:12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2:12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2:12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2:12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2:12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2:12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2:12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2:12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2:12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2:12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2:12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2:12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2:12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2:12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2:12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2:12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2:12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2:12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2:12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2:12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2:12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2:12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2:12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2:12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2:12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2:12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2:12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2:12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2:12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2:12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2:12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2:12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2:12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2:12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spans="2:12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spans="2:12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spans="2:12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spans="2:12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spans="2:12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2:12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spans="2:12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spans="2:12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spans="2:12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spans="2:12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spans="2:12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2:12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spans="2:12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spans="2:12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spans="2:12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spans="2:12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spans="2:12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spans="2:12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spans="2:12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spans="2:12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spans="2:12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spans="2:12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2:12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spans="2:12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2:12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2:12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2:12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2:12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spans="2:12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spans="2:12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2:12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spans="2:12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spans="2:12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2:12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spans="2:12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2:12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spans="2:12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2:12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2:12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2:12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spans="2:12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2:12" x14ac:dyDescent="0.25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spans="2:12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2:12" x14ac:dyDescent="0.25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spans="2:12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2:12" x14ac:dyDescent="0.25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spans="2:12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spans="2:12" x14ac:dyDescent="0.25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spans="2:12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spans="2:12" x14ac:dyDescent="0.2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spans="2:12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spans="2:12" x14ac:dyDescent="0.25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spans="2:12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spans="2:12" x14ac:dyDescent="0.25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spans="2:12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spans="2:12" x14ac:dyDescent="0.25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spans="2:12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spans="2:12" x14ac:dyDescent="0.25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spans="2:12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spans="2:12" x14ac:dyDescent="0.2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spans="2:12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2:12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spans="2:12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spans="2:12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spans="2:12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spans="2:12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spans="2:12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spans="2:12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spans="2:12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spans="2:12" x14ac:dyDescent="0.2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spans="2:12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spans="2:12" x14ac:dyDescent="0.25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spans="2:12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spans="2:12" x14ac:dyDescent="0.25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spans="2:12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spans="2:12" x14ac:dyDescent="0.25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spans="2:12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spans="2:12" x14ac:dyDescent="0.25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spans="2:12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spans="2:12" x14ac:dyDescent="0.2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spans="2:12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spans="2:12" x14ac:dyDescent="0.25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spans="2:12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spans="2:12" x14ac:dyDescent="0.25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spans="2:12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spans="2:12" x14ac:dyDescent="0.25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spans="2:12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spans="2:12" x14ac:dyDescent="0.25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spans="2:12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spans="2:12" x14ac:dyDescent="0.2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spans="2:12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spans="2:12" x14ac:dyDescent="0.25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spans="2:12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spans="2:12" x14ac:dyDescent="0.25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spans="2:12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spans="2:12" x14ac:dyDescent="0.25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spans="2:12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spans="2:12" x14ac:dyDescent="0.25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spans="2:12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spans="2:12" x14ac:dyDescent="0.2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spans="2:12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spans="2:12" x14ac:dyDescent="0.25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spans="2:12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spans="2:12" x14ac:dyDescent="0.25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spans="2:12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spans="2:12" x14ac:dyDescent="0.2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spans="2:12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spans="2:12" x14ac:dyDescent="0.25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spans="2:12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spans="2:12" x14ac:dyDescent="0.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spans="2:12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spans="2:12" x14ac:dyDescent="0.25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spans="2:12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spans="2:12" x14ac:dyDescent="0.25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spans="2:12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spans="2:12" x14ac:dyDescent="0.25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spans="2:12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spans="2:12" x14ac:dyDescent="0.25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spans="2:12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spans="2:12" x14ac:dyDescent="0.2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spans="2:12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spans="2:12" x14ac:dyDescent="0.25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spans="2:12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spans="2:12" x14ac:dyDescent="0.25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spans="2:12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spans="2:12" x14ac:dyDescent="0.25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spans="2:12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spans="2:12" x14ac:dyDescent="0.25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spans="2:12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spans="2:12" x14ac:dyDescent="0.2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spans="2:12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spans="2:12" x14ac:dyDescent="0.25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spans="2:12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spans="2:12" x14ac:dyDescent="0.25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spans="2:12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spans="2:12" x14ac:dyDescent="0.25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spans="2:12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spans="2:12" x14ac:dyDescent="0.25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spans="2:12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spans="2:12" x14ac:dyDescent="0.2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spans="2:12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spans="2:12" x14ac:dyDescent="0.25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spans="2:12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spans="2:12" x14ac:dyDescent="0.25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spans="2:12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spans="2:12" x14ac:dyDescent="0.25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spans="2:12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spans="2:12" x14ac:dyDescent="0.25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spans="2:12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spans="2:12" x14ac:dyDescent="0.2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spans="2:12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2:12" x14ac:dyDescent="0.25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2:12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spans="2:12" x14ac:dyDescent="0.25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spans="2:12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2:12" x14ac:dyDescent="0.25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spans="2:12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2:12" x14ac:dyDescent="0.25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spans="2:12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2:12" x14ac:dyDescent="0.2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spans="2:12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spans="2:12" x14ac:dyDescent="0.2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spans="2:12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spans="2:12" x14ac:dyDescent="0.2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spans="2:12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spans="2:12" x14ac:dyDescent="0.25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spans="2:12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spans="2:12" x14ac:dyDescent="0.25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spans="2:12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spans="2:12" x14ac:dyDescent="0.2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spans="2:12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spans="2:12" x14ac:dyDescent="0.25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spans="2:12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spans="2:12" x14ac:dyDescent="0.25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spans="2:12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spans="2:12" x14ac:dyDescent="0.25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spans="2:12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spans="2:12" x14ac:dyDescent="0.25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spans="2:12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2:12" x14ac:dyDescent="0.2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spans="2:12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spans="2:12" x14ac:dyDescent="0.25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spans="2:12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spans="2:12" x14ac:dyDescent="0.25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spans="2:12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spans="2:12" x14ac:dyDescent="0.25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spans="2:12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spans="2:12" x14ac:dyDescent="0.25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spans="2:12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2:12" x14ac:dyDescent="0.2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spans="2:12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spans="2:12" x14ac:dyDescent="0.25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spans="2:12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spans="2:12" x14ac:dyDescent="0.25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spans="2:12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spans="2:12" x14ac:dyDescent="0.25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spans="2:12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spans="2:12" x14ac:dyDescent="0.25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spans="2:12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spans="2:12" x14ac:dyDescent="0.2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spans="2:12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2:12" x14ac:dyDescent="0.25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spans="2:12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spans="2:12" x14ac:dyDescent="0.25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spans="2:12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spans="2:12" x14ac:dyDescent="0.25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spans="2:12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spans="2:12" x14ac:dyDescent="0.25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spans="2:12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spans="2:12" x14ac:dyDescent="0.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spans="2:12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spans="2:12" x14ac:dyDescent="0.25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spans="2:12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spans="2:12" x14ac:dyDescent="0.25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spans="2:12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spans="2:12" x14ac:dyDescent="0.25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spans="2:12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spans="2:12" x14ac:dyDescent="0.25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spans="2:12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spans="2:12" x14ac:dyDescent="0.2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spans="2:12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spans="2:12" x14ac:dyDescent="0.25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spans="2:12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spans="2:12" x14ac:dyDescent="0.25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spans="2:12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spans="2:12" x14ac:dyDescent="0.25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spans="2:12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spans="2:12" x14ac:dyDescent="0.25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spans="2:12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spans="2:12" x14ac:dyDescent="0.2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spans="2:12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spans="2:12" x14ac:dyDescent="0.25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spans="2:12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spans="2:12" x14ac:dyDescent="0.25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spans="2:12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spans="2:12" x14ac:dyDescent="0.25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spans="2:12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spans="2:12" x14ac:dyDescent="0.25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spans="2:12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spans="2:12" x14ac:dyDescent="0.2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spans="2:12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spans="2:12" x14ac:dyDescent="0.25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spans="2:12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spans="2:12" x14ac:dyDescent="0.25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spans="2:12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spans="2:12" x14ac:dyDescent="0.25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spans="2:12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spans="2:12" x14ac:dyDescent="0.25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spans="2:12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spans="2:12" x14ac:dyDescent="0.2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spans="2:12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spans="2:12" x14ac:dyDescent="0.25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spans="2:12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spans="2:12" x14ac:dyDescent="0.25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spans="2:12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spans="2:12" x14ac:dyDescent="0.25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spans="2:12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spans="2:12" x14ac:dyDescent="0.25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spans="2:12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spans="2:12" x14ac:dyDescent="0.2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spans="2:12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spans="2:12" x14ac:dyDescent="0.25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spans="2:12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</sheetData>
  <mergeCells count="2">
    <mergeCell ref="B1:G1"/>
    <mergeCell ref="H1:L1"/>
  </mergeCells>
  <pageMargins left="0.3" right="0.16" top="0.25" bottom="0.25" header="0.05" footer="0.05"/>
  <pageSetup scale="9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571"/>
  <sheetViews>
    <sheetView zoomScaleNormal="100" workbookViewId="0">
      <pane xSplit="1" ySplit="2" topLeftCell="B11" activePane="bottomRight" state="frozen"/>
      <selection pane="topRight" activeCell="B1" sqref="B1"/>
      <selection pane="bottomLeft" activeCell="A3" sqref="A3"/>
      <selection pane="bottomRight" activeCell="H32" sqref="H32"/>
    </sheetView>
  </sheetViews>
  <sheetFormatPr defaultRowHeight="15" x14ac:dyDescent="0.25"/>
  <cols>
    <col min="1" max="1" width="33.140625" customWidth="1"/>
    <col min="2" max="12" width="9.7109375" style="1" customWidth="1"/>
    <col min="13" max="13" width="8.85546875"/>
  </cols>
  <sheetData>
    <row r="1" spans="1:19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9" s="2" customFormat="1" ht="15.75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9" s="2" customFormat="1" x14ac:dyDescent="0.25">
      <c r="A3" s="3"/>
      <c r="B3" s="14"/>
      <c r="C3" s="14"/>
      <c r="D3" s="14"/>
      <c r="E3" s="14"/>
      <c r="F3" s="14"/>
      <c r="G3" s="14"/>
      <c r="H3" s="3"/>
      <c r="I3" s="3"/>
      <c r="J3" s="3"/>
      <c r="K3" s="3"/>
      <c r="L3" s="3"/>
    </row>
    <row r="4" spans="1:19" x14ac:dyDescent="0.25">
      <c r="A4" s="8" t="s">
        <v>154</v>
      </c>
    </row>
    <row r="5" spans="1:19" x14ac:dyDescent="0.25">
      <c r="A5" t="s">
        <v>155</v>
      </c>
      <c r="B5" s="98">
        <v>8390</v>
      </c>
      <c r="C5" s="98">
        <v>8543</v>
      </c>
      <c r="D5" s="98">
        <v>8617</v>
      </c>
      <c r="E5" s="98">
        <v>8719</v>
      </c>
      <c r="F5" s="98">
        <v>9027</v>
      </c>
      <c r="G5" s="98">
        <v>9060</v>
      </c>
      <c r="H5" s="12"/>
      <c r="I5" s="12"/>
      <c r="J5" s="12"/>
      <c r="K5" s="12"/>
      <c r="L5" s="12"/>
      <c r="N5" s="30"/>
    </row>
    <row r="6" spans="1:19" x14ac:dyDescent="0.25">
      <c r="A6" t="s">
        <v>156</v>
      </c>
      <c r="B6" s="98">
        <v>18432</v>
      </c>
      <c r="C6" s="98">
        <v>18838</v>
      </c>
      <c r="D6" s="98">
        <v>19173</v>
      </c>
      <c r="E6" s="98">
        <v>19430</v>
      </c>
      <c r="F6" s="98">
        <v>20030</v>
      </c>
      <c r="G6" s="98">
        <v>20260</v>
      </c>
      <c r="H6" s="12"/>
      <c r="I6" s="12"/>
      <c r="J6" s="12"/>
      <c r="K6" s="12"/>
      <c r="L6" s="12"/>
    </row>
    <row r="7" spans="1:19" x14ac:dyDescent="0.25">
      <c r="A7" t="s">
        <v>157</v>
      </c>
      <c r="B7" s="98">
        <v>13666</v>
      </c>
      <c r="C7" s="98">
        <v>15119</v>
      </c>
      <c r="D7" s="98">
        <v>16441</v>
      </c>
      <c r="E7" s="98">
        <v>16564</v>
      </c>
      <c r="F7" s="98">
        <v>16667</v>
      </c>
      <c r="G7" s="98">
        <v>18474</v>
      </c>
      <c r="H7" s="12"/>
      <c r="I7" s="12"/>
      <c r="J7" s="12"/>
      <c r="K7" s="12"/>
      <c r="L7" s="12"/>
    </row>
    <row r="8" spans="1:19" x14ac:dyDescent="0.25">
      <c r="A8" t="s">
        <v>158</v>
      </c>
      <c r="B8" s="98">
        <v>1789</v>
      </c>
      <c r="C8" s="98">
        <v>1925</v>
      </c>
      <c r="D8" s="98">
        <v>2016</v>
      </c>
      <c r="E8" s="98">
        <v>2130</v>
      </c>
      <c r="F8" s="98">
        <v>2254</v>
      </c>
      <c r="G8" s="98">
        <v>2423</v>
      </c>
      <c r="H8" s="12"/>
      <c r="I8" s="12"/>
      <c r="J8" s="12"/>
      <c r="K8" s="12"/>
      <c r="L8" s="12"/>
    </row>
    <row r="9" spans="1:19" x14ac:dyDescent="0.25">
      <c r="A9" t="s">
        <v>159</v>
      </c>
      <c r="B9" s="98">
        <v>1005</v>
      </c>
      <c r="C9" s="98">
        <v>1068</v>
      </c>
      <c r="D9" s="98">
        <v>1139</v>
      </c>
      <c r="E9" s="98">
        <v>1297</v>
      </c>
      <c r="F9" s="98">
        <v>1192</v>
      </c>
      <c r="G9" s="98">
        <v>1521</v>
      </c>
      <c r="H9" s="12"/>
      <c r="I9" s="12"/>
      <c r="J9" s="12"/>
      <c r="K9" s="12"/>
      <c r="L9" s="12"/>
    </row>
    <row r="10" spans="1:19" x14ac:dyDescent="0.25">
      <c r="A10" t="s">
        <v>160</v>
      </c>
      <c r="B10" s="119">
        <v>1578</v>
      </c>
      <c r="C10" s="119">
        <v>3308</v>
      </c>
      <c r="D10" s="119">
        <v>3943</v>
      </c>
      <c r="E10" s="119">
        <v>4135</v>
      </c>
      <c r="F10" s="119">
        <v>4087</v>
      </c>
      <c r="G10" s="119">
        <v>4045</v>
      </c>
      <c r="H10" s="32"/>
      <c r="I10" s="32"/>
      <c r="J10" s="32"/>
      <c r="K10" s="32"/>
      <c r="L10" s="32"/>
    </row>
    <row r="11" spans="1:19" x14ac:dyDescent="0.25">
      <c r="A11" s="8" t="s">
        <v>161</v>
      </c>
      <c r="B11" s="98">
        <f>SUM(B5:B10)</f>
        <v>44860</v>
      </c>
      <c r="C11" s="98">
        <f>SUM(C5:C10)</f>
        <v>48801</v>
      </c>
      <c r="D11" s="98">
        <f>SUM(D5:D10)</f>
        <v>51329</v>
      </c>
      <c r="E11" s="98">
        <f t="shared" ref="E11:F11" si="0">SUM(E5:E10)</f>
        <v>52275</v>
      </c>
      <c r="F11" s="98">
        <f t="shared" si="0"/>
        <v>53257</v>
      </c>
      <c r="G11" s="98">
        <f>SUM(G5:G10)</f>
        <v>55783</v>
      </c>
      <c r="H11" s="104">
        <f>G11+H19+H20+H21+H22+H23</f>
        <v>59376.303109797838</v>
      </c>
      <c r="I11" s="104">
        <f t="shared" ref="I11:L11" si="1">H11+I19+I20+I21+I22+I23</f>
        <v>63242.271655118631</v>
      </c>
      <c r="J11" s="104">
        <f t="shared" si="1"/>
        <v>67402.21719707892</v>
      </c>
      <c r="K11" s="104">
        <f t="shared" si="1"/>
        <v>71879.175472238087</v>
      </c>
      <c r="L11" s="104">
        <f t="shared" si="1"/>
        <v>76698.050140825537</v>
      </c>
    </row>
    <row r="12" spans="1:19" ht="6" customHeight="1" x14ac:dyDescent="0.25">
      <c r="B12" s="98"/>
      <c r="C12" s="98"/>
      <c r="D12" s="98"/>
      <c r="E12" s="98"/>
      <c r="F12" s="98"/>
      <c r="G12" s="98"/>
      <c r="H12" s="104"/>
      <c r="I12" s="104"/>
      <c r="J12" s="104"/>
      <c r="K12" s="104"/>
      <c r="L12" s="104"/>
    </row>
    <row r="13" spans="1:19" x14ac:dyDescent="0.25">
      <c r="A13" t="s">
        <v>162</v>
      </c>
      <c r="B13" s="119">
        <v>22090</v>
      </c>
      <c r="C13" s="119">
        <v>24096</v>
      </c>
      <c r="D13" s="119">
        <v>26130</v>
      </c>
      <c r="E13" s="119">
        <v>26644</v>
      </c>
      <c r="F13" s="119">
        <v>27103</v>
      </c>
      <c r="G13" s="119">
        <v>29081</v>
      </c>
      <c r="H13" s="106">
        <f>G13-H24</f>
        <v>32180.055555555555</v>
      </c>
      <c r="I13" s="106">
        <f>H13-I24</f>
        <v>35478.739061655433</v>
      </c>
      <c r="J13" s="106">
        <f>I13-J24</f>
        <v>38992.198598050913</v>
      </c>
      <c r="K13" s="106">
        <f>J13-K24</f>
        <v>42736.766220110854</v>
      </c>
      <c r="L13" s="106">
        <f>K13-L24</f>
        <v>46730.053746346304</v>
      </c>
    </row>
    <row r="14" spans="1:19" ht="6" customHeight="1" x14ac:dyDescent="0.25">
      <c r="B14" s="98"/>
      <c r="C14" s="98"/>
      <c r="D14" s="98"/>
      <c r="E14" s="98"/>
      <c r="F14" s="98"/>
      <c r="G14" s="98"/>
      <c r="H14" s="104"/>
      <c r="I14" s="104"/>
      <c r="J14" s="104"/>
      <c r="K14" s="104"/>
      <c r="L14" s="104"/>
    </row>
    <row r="15" spans="1:19" x14ac:dyDescent="0.25">
      <c r="A15" s="8" t="s">
        <v>163</v>
      </c>
      <c r="B15" s="119">
        <f t="shared" ref="B15:L15" si="2">B11-B13</f>
        <v>22770</v>
      </c>
      <c r="C15" s="119">
        <f t="shared" si="2"/>
        <v>24705</v>
      </c>
      <c r="D15" s="119">
        <f t="shared" si="2"/>
        <v>25199</v>
      </c>
      <c r="E15" s="119">
        <f t="shared" si="2"/>
        <v>25631</v>
      </c>
      <c r="F15" s="119">
        <f t="shared" si="2"/>
        <v>26154</v>
      </c>
      <c r="G15" s="119">
        <f t="shared" si="2"/>
        <v>26702</v>
      </c>
      <c r="H15" s="106">
        <f>H11-H13</f>
        <v>27196.247554242284</v>
      </c>
      <c r="I15" s="106">
        <f t="shared" si="2"/>
        <v>27763.532593463198</v>
      </c>
      <c r="J15" s="106">
        <f t="shared" si="2"/>
        <v>28410.018599028008</v>
      </c>
      <c r="K15" s="106">
        <f t="shared" si="2"/>
        <v>29142.409252127232</v>
      </c>
      <c r="L15" s="106">
        <f t="shared" si="2"/>
        <v>29967.996394479233</v>
      </c>
      <c r="N15" s="14"/>
      <c r="O15" s="14"/>
      <c r="P15" s="14"/>
      <c r="Q15" s="14"/>
      <c r="R15" s="14"/>
      <c r="S15" s="14"/>
    </row>
    <row r="16" spans="1:19" x14ac:dyDescent="0.25">
      <c r="B16" s="14"/>
      <c r="C16" s="14"/>
      <c r="D16" s="14"/>
      <c r="E16" s="14"/>
      <c r="F16" s="14"/>
      <c r="G16" s="14"/>
      <c r="H16" s="12"/>
      <c r="I16" s="12"/>
      <c r="J16" s="12"/>
      <c r="K16" s="12"/>
      <c r="L16" s="12"/>
    </row>
    <row r="17" spans="1:12" x14ac:dyDescent="0.25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spans="1:12" x14ac:dyDescent="0.25">
      <c r="A18" s="8" t="s">
        <v>164</v>
      </c>
      <c r="B18" s="12"/>
      <c r="C18" s="98">
        <v>22770</v>
      </c>
      <c r="D18" s="98">
        <f>C26</f>
        <v>24705</v>
      </c>
      <c r="E18" s="98">
        <f t="shared" ref="E18" si="3">D26</f>
        <v>25199</v>
      </c>
      <c r="F18" s="98">
        <f>E26</f>
        <v>25631</v>
      </c>
      <c r="G18" s="98">
        <f t="shared" ref="G18:L18" si="4">F26</f>
        <v>26154</v>
      </c>
      <c r="H18" s="251">
        <f>G26</f>
        <v>26702</v>
      </c>
      <c r="I18" s="251">
        <f t="shared" si="4"/>
        <v>27196.24755424228</v>
      </c>
      <c r="J18" s="251">
        <f t="shared" si="4"/>
        <v>27763.532593463198</v>
      </c>
      <c r="K18" s="251">
        <f t="shared" si="4"/>
        <v>28410.018599028015</v>
      </c>
      <c r="L18" s="251">
        <f t="shared" si="4"/>
        <v>29142.409252127247</v>
      </c>
    </row>
    <row r="19" spans="1:12" x14ac:dyDescent="0.25">
      <c r="A19" t="s">
        <v>165</v>
      </c>
      <c r="B19" s="12"/>
      <c r="C19" s="98">
        <f>-Financials!C110</f>
        <v>2463</v>
      </c>
      <c r="D19" s="98">
        <f>-Financials!D110</f>
        <v>2566</v>
      </c>
      <c r="E19" s="98">
        <f>-Financials!E110</f>
        <v>3119</v>
      </c>
      <c r="F19" s="98">
        <f>-Financials!F110</f>
        <v>3226</v>
      </c>
      <c r="G19" s="98">
        <f>-Financials!G110</f>
        <v>3485</v>
      </c>
      <c r="H19" s="251">
        <f>AVERAGE(H52,H64,H87)</f>
        <v>3599.303109797836</v>
      </c>
      <c r="I19" s="251">
        <f t="shared" ref="I19:L19" si="5">AVERAGE(I52,I64,I87)</f>
        <v>3871.9685453207967</v>
      </c>
      <c r="J19" s="251">
        <f t="shared" si="5"/>
        <v>4165.9455419602964</v>
      </c>
      <c r="K19" s="251">
        <f t="shared" si="5"/>
        <v>4482.9582751591706</v>
      </c>
      <c r="L19" s="251">
        <f t="shared" si="5"/>
        <v>4824.8746685874503</v>
      </c>
    </row>
    <row r="20" spans="1:12" x14ac:dyDescent="0.25">
      <c r="A20" t="s">
        <v>166</v>
      </c>
      <c r="B20" s="12"/>
      <c r="C20" s="98"/>
      <c r="D20" s="98"/>
      <c r="E20" s="98"/>
      <c r="F20" s="98"/>
      <c r="G20" s="98"/>
      <c r="H20" s="12"/>
      <c r="I20" s="12"/>
      <c r="J20" s="12"/>
      <c r="K20" s="12"/>
      <c r="L20" s="12"/>
    </row>
    <row r="21" spans="1:12" x14ac:dyDescent="0.25">
      <c r="A21" t="s">
        <v>167</v>
      </c>
      <c r="B21" s="12"/>
      <c r="C21" s="98">
        <f>C10-B10</f>
        <v>1730</v>
      </c>
      <c r="D21" s="98">
        <v>672</v>
      </c>
      <c r="E21" s="98">
        <v>322</v>
      </c>
      <c r="F21" s="98">
        <v>336</v>
      </c>
      <c r="G21" s="98">
        <v>153</v>
      </c>
      <c r="H21" s="251">
        <v>0</v>
      </c>
      <c r="I21" s="251">
        <v>0</v>
      </c>
      <c r="J21" s="251">
        <v>0</v>
      </c>
      <c r="K21" s="251">
        <v>0</v>
      </c>
      <c r="L21" s="251">
        <v>0</v>
      </c>
    </row>
    <row r="22" spans="1:12" x14ac:dyDescent="0.25">
      <c r="A22" t="s">
        <v>168</v>
      </c>
      <c r="B22" s="12"/>
      <c r="C22" s="98">
        <v>0</v>
      </c>
      <c r="D22" s="98">
        <v>0</v>
      </c>
      <c r="E22" s="98">
        <v>0</v>
      </c>
      <c r="F22" s="98">
        <v>0</v>
      </c>
      <c r="G22" s="98">
        <v>0</v>
      </c>
      <c r="H22" s="251">
        <v>0</v>
      </c>
      <c r="I22" s="251">
        <v>0</v>
      </c>
      <c r="J22" s="251">
        <v>0</v>
      </c>
      <c r="K22" s="251">
        <v>0</v>
      </c>
      <c r="L22" s="251">
        <v>0</v>
      </c>
    </row>
    <row r="23" spans="1:12" x14ac:dyDescent="0.25">
      <c r="A23" t="s">
        <v>169</v>
      </c>
      <c r="B23" s="12"/>
      <c r="C23" s="98">
        <f>IF(C31&gt;0,-C31,0)</f>
        <v>0</v>
      </c>
      <c r="D23" s="98">
        <f t="shared" ref="D23:E23" si="6">IF(D31&gt;0,-D31,0)</f>
        <v>0</v>
      </c>
      <c r="E23" s="98">
        <f t="shared" si="6"/>
        <v>0</v>
      </c>
      <c r="F23" s="98">
        <f>IF(F31&gt;0,-F31,0)</f>
        <v>0</v>
      </c>
      <c r="G23" s="98">
        <f>IF(G31&gt;0,-G31,0)</f>
        <v>0</v>
      </c>
      <c r="H23" s="251">
        <f>IF(H31&gt;0,-H31,0)</f>
        <v>-6</v>
      </c>
      <c r="I23" s="251">
        <f t="shared" ref="I23:L23" si="7">IF(I31&gt;0,-I31,0)</f>
        <v>-6</v>
      </c>
      <c r="J23" s="251">
        <f t="shared" si="7"/>
        <v>-6</v>
      </c>
      <c r="K23" s="251">
        <f t="shared" si="7"/>
        <v>-6</v>
      </c>
      <c r="L23" s="251">
        <f t="shared" si="7"/>
        <v>-6</v>
      </c>
    </row>
    <row r="24" spans="1:12" x14ac:dyDescent="0.25">
      <c r="A24" t="s">
        <v>170</v>
      </c>
      <c r="B24" s="12"/>
      <c r="C24" s="98">
        <v>-2425</v>
      </c>
      <c r="D24" s="98">
        <f>-2650</f>
        <v>-2650</v>
      </c>
      <c r="E24" s="98">
        <f>-Financials!E89</f>
        <v>-2796</v>
      </c>
      <c r="F24" s="98">
        <f>-Financials!F89</f>
        <v>-3061</v>
      </c>
      <c r="G24" s="98">
        <f>-Financials!G89</f>
        <v>-3336</v>
      </c>
      <c r="H24" s="251">
        <f>-G11/H40</f>
        <v>-3099.0555555555557</v>
      </c>
      <c r="I24" s="251">
        <f t="shared" ref="I24:L24" si="8">-H11/I40</f>
        <v>-3298.6835060998801</v>
      </c>
      <c r="J24" s="251">
        <f t="shared" si="8"/>
        <v>-3513.4595363954795</v>
      </c>
      <c r="K24" s="251">
        <f t="shared" si="8"/>
        <v>-3744.5676220599398</v>
      </c>
      <c r="L24" s="251">
        <f t="shared" si="8"/>
        <v>-3993.2875262354491</v>
      </c>
    </row>
    <row r="25" spans="1:12" x14ac:dyDescent="0.25">
      <c r="A25" t="s">
        <v>171</v>
      </c>
      <c r="B25" s="12"/>
      <c r="C25" s="119">
        <v>167</v>
      </c>
      <c r="D25" s="119">
        <v>-94</v>
      </c>
      <c r="E25" s="119">
        <v>-213</v>
      </c>
      <c r="F25" s="119">
        <v>22</v>
      </c>
      <c r="G25" s="119">
        <v>246</v>
      </c>
      <c r="H25" s="32"/>
      <c r="I25" s="32"/>
      <c r="J25" s="32"/>
      <c r="K25" s="32"/>
      <c r="L25" s="32"/>
    </row>
    <row r="26" spans="1:12" x14ac:dyDescent="0.25">
      <c r="A26" s="8" t="s">
        <v>172</v>
      </c>
      <c r="B26" s="12"/>
      <c r="C26" s="120">
        <f t="shared" ref="C26:E26" si="9">SUM(C18:C25)</f>
        <v>24705</v>
      </c>
      <c r="D26" s="120">
        <f t="shared" si="9"/>
        <v>25199</v>
      </c>
      <c r="E26" s="120">
        <f t="shared" si="9"/>
        <v>25631</v>
      </c>
      <c r="F26" s="120">
        <f>SUM(F18:F25)</f>
        <v>26154</v>
      </c>
      <c r="G26" s="120">
        <f>SUM(G18:G25)</f>
        <v>26702</v>
      </c>
      <c r="H26" s="120">
        <f t="shared" ref="H26:L26" si="10">SUM(H18:H25)</f>
        <v>27196.24755424228</v>
      </c>
      <c r="I26" s="120">
        <f t="shared" si="10"/>
        <v>27763.532593463198</v>
      </c>
      <c r="J26" s="120">
        <f t="shared" si="10"/>
        <v>28410.018599028015</v>
      </c>
      <c r="K26" s="120">
        <f t="shared" si="10"/>
        <v>29142.409252127247</v>
      </c>
      <c r="L26" s="120">
        <f t="shared" si="10"/>
        <v>29967.996394479247</v>
      </c>
    </row>
    <row r="27" spans="1:12" x14ac:dyDescent="0.25">
      <c r="A27" s="8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2" ht="15.75" thickBot="1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2" x14ac:dyDescent="0.25">
      <c r="A29" s="76" t="s">
        <v>173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5"/>
    </row>
    <row r="30" spans="1:12" x14ac:dyDescent="0.25">
      <c r="A30" s="35" t="s">
        <v>174</v>
      </c>
      <c r="B30" s="98">
        <f>Financials!B112</f>
        <v>37</v>
      </c>
      <c r="C30" s="98">
        <f>Financials!C112</f>
        <v>0</v>
      </c>
      <c r="D30" s="98">
        <f>Financials!D112</f>
        <v>0</v>
      </c>
      <c r="E30" s="98">
        <f>Financials!E112</f>
        <v>0</v>
      </c>
      <c r="F30" s="98">
        <f>Financials!F112</f>
        <v>0</v>
      </c>
      <c r="G30" s="98">
        <f>Financials!G112</f>
        <v>0</v>
      </c>
      <c r="H30" s="251">
        <v>6</v>
      </c>
      <c r="I30" s="251">
        <v>6</v>
      </c>
      <c r="J30" s="251">
        <v>6</v>
      </c>
      <c r="K30" s="251">
        <v>6</v>
      </c>
      <c r="L30" s="252">
        <v>6</v>
      </c>
    </row>
    <row r="31" spans="1:12" x14ac:dyDescent="0.25">
      <c r="A31" s="35" t="s">
        <v>175</v>
      </c>
      <c r="B31" s="119">
        <f t="shared" ref="B31" si="11">B30-B32</f>
        <v>37</v>
      </c>
      <c r="C31" s="119">
        <f t="shared" ref="C31:F31" si="12">C30-C32</f>
        <v>0</v>
      </c>
      <c r="D31" s="119">
        <f t="shared" si="12"/>
        <v>0</v>
      </c>
      <c r="E31" s="119">
        <f t="shared" si="12"/>
        <v>0</v>
      </c>
      <c r="F31" s="119">
        <f t="shared" si="12"/>
        <v>0</v>
      </c>
      <c r="G31" s="119">
        <f>G30-G32</f>
        <v>0</v>
      </c>
      <c r="H31" s="262">
        <f>H30-H32</f>
        <v>6</v>
      </c>
      <c r="I31" s="262">
        <f t="shared" ref="I31:L31" si="13">I30-I32</f>
        <v>6</v>
      </c>
      <c r="J31" s="262">
        <f t="shared" si="13"/>
        <v>6</v>
      </c>
      <c r="K31" s="262">
        <f t="shared" si="13"/>
        <v>6</v>
      </c>
      <c r="L31" s="264">
        <f t="shared" si="13"/>
        <v>6</v>
      </c>
    </row>
    <row r="32" spans="1:12" x14ac:dyDescent="0.25">
      <c r="A32" s="35" t="s">
        <v>176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251">
        <v>0</v>
      </c>
      <c r="I32" s="251">
        <v>0</v>
      </c>
      <c r="J32" s="251">
        <v>0</v>
      </c>
      <c r="K32" s="251">
        <v>0</v>
      </c>
      <c r="L32" s="252">
        <v>0</v>
      </c>
    </row>
    <row r="33" spans="1:12" x14ac:dyDescent="0.25">
      <c r="A33" s="3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50"/>
    </row>
    <row r="34" spans="1:12" x14ac:dyDescent="0.25">
      <c r="A34" s="35" t="s">
        <v>177</v>
      </c>
      <c r="B34" s="12"/>
      <c r="C34" s="12"/>
      <c r="D34" s="12"/>
      <c r="E34" s="12"/>
      <c r="F34" s="12"/>
      <c r="G34" s="98">
        <f>AVERAGE(B30:G30)</f>
        <v>6.166666666666667</v>
      </c>
      <c r="H34" s="12"/>
      <c r="I34" s="12"/>
      <c r="J34" s="12"/>
      <c r="K34" s="12"/>
      <c r="L34" s="50"/>
    </row>
    <row r="35" spans="1:12" ht="15.75" thickBot="1" x14ac:dyDescent="0.3">
      <c r="A35" s="36" t="s">
        <v>178</v>
      </c>
      <c r="B35" s="40"/>
      <c r="C35" s="40"/>
      <c r="D35" s="40"/>
      <c r="E35" s="40"/>
      <c r="F35" s="40"/>
      <c r="G35" s="121">
        <f>AVERAGE(B32:F32)</f>
        <v>0</v>
      </c>
      <c r="H35" s="40"/>
      <c r="I35" s="40"/>
      <c r="J35" s="40"/>
      <c r="K35" s="40"/>
      <c r="L35" s="41"/>
    </row>
    <row r="36" spans="1:12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.75" thickBot="1" x14ac:dyDescent="0.3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x14ac:dyDescent="0.25">
      <c r="A38" s="76" t="s">
        <v>179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5"/>
    </row>
    <row r="39" spans="1:12" x14ac:dyDescent="0.25">
      <c r="A39" s="3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50"/>
    </row>
    <row r="40" spans="1:12" x14ac:dyDescent="0.25">
      <c r="A40" s="35" t="s">
        <v>180</v>
      </c>
      <c r="B40" s="12"/>
      <c r="C40" s="183">
        <f>AVERAGE(B11:C11)/-C24</f>
        <v>19.311546391752579</v>
      </c>
      <c r="D40" s="183">
        <f t="shared" ref="D40:G40" si="14">AVERAGE(C11:D11)/-D24</f>
        <v>18.892452830188681</v>
      </c>
      <c r="E40" s="183">
        <f t="shared" si="14"/>
        <v>18.527181688125893</v>
      </c>
      <c r="F40" s="183">
        <f t="shared" si="14"/>
        <v>17.238157464880757</v>
      </c>
      <c r="G40" s="183">
        <f t="shared" si="14"/>
        <v>16.342925659472421</v>
      </c>
      <c r="H40" s="251">
        <v>18</v>
      </c>
      <c r="I40" s="251">
        <v>18</v>
      </c>
      <c r="J40" s="251">
        <v>18</v>
      </c>
      <c r="K40" s="251">
        <v>18</v>
      </c>
      <c r="L40" s="252">
        <v>18</v>
      </c>
    </row>
    <row r="41" spans="1:12" ht="15.75" thickBot="1" x14ac:dyDescent="0.3">
      <c r="A41" s="36" t="s">
        <v>181</v>
      </c>
      <c r="B41" s="40"/>
      <c r="C41" s="184"/>
      <c r="D41" s="184"/>
      <c r="E41" s="184"/>
      <c r="F41" s="184"/>
      <c r="G41" s="184">
        <f>AVERAGE(C40:G40)</f>
        <v>18.062452806884068</v>
      </c>
      <c r="H41" s="40"/>
      <c r="I41" s="40"/>
      <c r="J41" s="40"/>
      <c r="K41" s="40"/>
      <c r="L41" s="41"/>
    </row>
    <row r="42" spans="1:12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5.75" thickBot="1" x14ac:dyDescent="0.3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x14ac:dyDescent="0.25">
      <c r="A44" s="38" t="s">
        <v>182</v>
      </c>
      <c r="B44" s="39"/>
      <c r="C44" s="188">
        <f>Financials!C63</f>
        <v>2128</v>
      </c>
      <c r="D44" s="188">
        <f>Financials!D63</f>
        <v>2386</v>
      </c>
      <c r="E44" s="188">
        <f>Financials!E63</f>
        <v>2455</v>
      </c>
      <c r="F44" s="188">
        <f>Financials!F63</f>
        <v>2673</v>
      </c>
      <c r="G44" s="188">
        <f>Financials!G63</f>
        <v>3034</v>
      </c>
      <c r="H44" s="113">
        <f>H45*H46</f>
        <v>2758.1594444444445</v>
      </c>
      <c r="I44" s="113">
        <f t="shared" ref="I44:L44" si="15">I45*I46</f>
        <v>2935.8283204288932</v>
      </c>
      <c r="J44" s="113">
        <f t="shared" si="15"/>
        <v>3126.9789873919767</v>
      </c>
      <c r="K44" s="113">
        <f t="shared" si="15"/>
        <v>3332.6651836333467</v>
      </c>
      <c r="L44" s="114">
        <f t="shared" si="15"/>
        <v>3554.0258983495496</v>
      </c>
    </row>
    <row r="45" spans="1:12" x14ac:dyDescent="0.25">
      <c r="A45" s="35" t="s">
        <v>183</v>
      </c>
      <c r="B45" s="12"/>
      <c r="C45" s="183">
        <f>-C24</f>
        <v>2425</v>
      </c>
      <c r="D45" s="183">
        <f t="shared" ref="D45:L45" si="16">-D24</f>
        <v>2650</v>
      </c>
      <c r="E45" s="183">
        <f t="shared" si="16"/>
        <v>2796</v>
      </c>
      <c r="F45" s="183">
        <f t="shared" si="16"/>
        <v>3061</v>
      </c>
      <c r="G45" s="183">
        <f t="shared" si="16"/>
        <v>3336</v>
      </c>
      <c r="H45" s="104">
        <f t="shared" si="16"/>
        <v>3099.0555555555557</v>
      </c>
      <c r="I45" s="104">
        <f t="shared" si="16"/>
        <v>3298.6835060998801</v>
      </c>
      <c r="J45" s="104">
        <f t="shared" si="16"/>
        <v>3513.4595363954795</v>
      </c>
      <c r="K45" s="104">
        <f t="shared" si="16"/>
        <v>3744.5676220599398</v>
      </c>
      <c r="L45" s="105">
        <f t="shared" si="16"/>
        <v>3993.2875262354491</v>
      </c>
    </row>
    <row r="46" spans="1:12" x14ac:dyDescent="0.25">
      <c r="A46" s="35" t="s">
        <v>184</v>
      </c>
      <c r="B46" s="12"/>
      <c r="C46" s="185">
        <f>C44/C45</f>
        <v>0.87752577319587632</v>
      </c>
      <c r="D46" s="185">
        <f t="shared" ref="D46:F46" si="17">D44/D45</f>
        <v>0.90037735849056599</v>
      </c>
      <c r="E46" s="185">
        <f t="shared" si="17"/>
        <v>0.87804005722460654</v>
      </c>
      <c r="F46" s="185">
        <f t="shared" si="17"/>
        <v>0.87324403789611238</v>
      </c>
      <c r="G46" s="185">
        <f>G44/G45</f>
        <v>0.90947242206235013</v>
      </c>
      <c r="H46" s="1">
        <v>0.89</v>
      </c>
      <c r="I46" s="1">
        <v>0.89</v>
      </c>
      <c r="J46" s="1">
        <v>0.89</v>
      </c>
      <c r="K46" s="1">
        <v>0.89</v>
      </c>
      <c r="L46" s="117">
        <v>0.89</v>
      </c>
    </row>
    <row r="47" spans="1:12" ht="15.75" thickBot="1" x14ac:dyDescent="0.3">
      <c r="A47" s="36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1"/>
    </row>
    <row r="48" spans="1:12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5.75" thickBot="1" x14ac:dyDescent="0.3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25">
      <c r="A50" s="76" t="s">
        <v>185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45"/>
    </row>
    <row r="51" spans="1:12" x14ac:dyDescent="0.25">
      <c r="A51" s="12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50"/>
    </row>
    <row r="52" spans="1:12" x14ac:dyDescent="0.25">
      <c r="A52" s="35" t="s">
        <v>186</v>
      </c>
      <c r="B52" s="12"/>
      <c r="C52" s="183">
        <f>C19</f>
        <v>2463</v>
      </c>
      <c r="D52" s="183">
        <f t="shared" ref="D52:G52" si="18">D19</f>
        <v>2566</v>
      </c>
      <c r="E52" s="183">
        <f t="shared" si="18"/>
        <v>3119</v>
      </c>
      <c r="F52" s="183">
        <f t="shared" si="18"/>
        <v>3226</v>
      </c>
      <c r="G52" s="183">
        <f t="shared" si="18"/>
        <v>3485</v>
      </c>
      <c r="H52" s="251">
        <f>H54*H57</f>
        <v>3806.9352886987431</v>
      </c>
      <c r="I52" s="251">
        <f t="shared" ref="I52:L52" si="19">I54*I57</f>
        <v>4158.6248745445355</v>
      </c>
      <c r="J52" s="251">
        <f t="shared" si="19"/>
        <v>4542.8201712462369</v>
      </c>
      <c r="K52" s="251">
        <f t="shared" si="19"/>
        <v>4962.5271566182882</v>
      </c>
      <c r="L52" s="252">
        <f t="shared" si="19"/>
        <v>5421.0299384607069</v>
      </c>
    </row>
    <row r="53" spans="1:12" ht="9" customHeight="1" x14ac:dyDescent="0.25">
      <c r="A53" s="12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50"/>
    </row>
    <row r="54" spans="1:12" x14ac:dyDescent="0.25">
      <c r="A54" s="35" t="s">
        <v>187</v>
      </c>
      <c r="B54" s="12"/>
      <c r="C54" s="183">
        <f>Revenue!C53</f>
        <v>2296</v>
      </c>
      <c r="D54" s="183">
        <f>Revenue!D53</f>
        <v>2317</v>
      </c>
      <c r="E54" s="183">
        <f>Revenue!E53</f>
        <v>2322</v>
      </c>
      <c r="F54" s="183">
        <f>Revenue!F53</f>
        <v>2335</v>
      </c>
      <c r="G54" s="183">
        <f>Revenue!G53</f>
        <v>2347</v>
      </c>
      <c r="H54" s="104">
        <f>Revenue!H53</f>
        <v>2358.3937000000001</v>
      </c>
      <c r="I54" s="104">
        <f>Revenue!I53</f>
        <v>2369.85111577</v>
      </c>
      <c r="J54" s="104">
        <f>Revenue!J53</f>
        <v>2381.3726717600175</v>
      </c>
      <c r="K54" s="104">
        <f>Revenue!K53</f>
        <v>2392.9587957271806</v>
      </c>
      <c r="L54" s="105">
        <f>Revenue!L53</f>
        <v>2404.609918764334</v>
      </c>
    </row>
    <row r="55" spans="1:12" ht="9.75" customHeight="1" x14ac:dyDescent="0.25">
      <c r="A55" s="12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50"/>
    </row>
    <row r="56" spans="1:12" x14ac:dyDescent="0.25">
      <c r="A56" s="35" t="s">
        <v>188</v>
      </c>
      <c r="C56" s="185"/>
      <c r="D56" s="185"/>
      <c r="E56" s="185"/>
      <c r="F56" s="185"/>
      <c r="G56" s="185"/>
      <c r="L56" s="117"/>
    </row>
    <row r="57" spans="1:12" x14ac:dyDescent="0.25">
      <c r="A57" s="35" t="s">
        <v>189</v>
      </c>
      <c r="B57" s="12"/>
      <c r="C57" s="185">
        <f>C52/C54</f>
        <v>1.0727351916376306</v>
      </c>
      <c r="D57" s="185">
        <f t="shared" ref="D57:G57" si="20">D52/D54</f>
        <v>1.1074665515753128</v>
      </c>
      <c r="E57" s="185">
        <f t="shared" si="20"/>
        <v>1.343238587424634</v>
      </c>
      <c r="F57" s="185">
        <f t="shared" si="20"/>
        <v>1.3815845824411135</v>
      </c>
      <c r="G57" s="185">
        <f t="shared" si="20"/>
        <v>1.4848743076267577</v>
      </c>
      <c r="H57" s="256">
        <f>G57*(1+H58)</f>
        <v>1.6142068598210482</v>
      </c>
      <c r="I57" s="256">
        <f t="shared" ref="I57:L57" si="21">H57*(1+I58)</f>
        <v>1.7548042773114614</v>
      </c>
      <c r="J57" s="256">
        <f t="shared" si="21"/>
        <v>1.9076477298652896</v>
      </c>
      <c r="K57" s="256">
        <f t="shared" si="21"/>
        <v>2.0738038471365563</v>
      </c>
      <c r="L57" s="257">
        <f t="shared" si="21"/>
        <v>2.2544321622221504</v>
      </c>
    </row>
    <row r="58" spans="1:12" x14ac:dyDescent="0.25">
      <c r="A58" s="35" t="s">
        <v>190</v>
      </c>
      <c r="B58" s="12"/>
      <c r="C58" s="185"/>
      <c r="D58" s="282">
        <f>(D57-C57)/C57</f>
        <v>3.2376452463223009E-2</v>
      </c>
      <c r="E58" s="282">
        <f t="shared" ref="E58:G58" si="22">(E57-D57)/D57</f>
        <v>0.2128931438280893</v>
      </c>
      <c r="F58" s="282">
        <f t="shared" si="22"/>
        <v>2.8547419181874131E-2</v>
      </c>
      <c r="G58" s="282">
        <f t="shared" si="22"/>
        <v>7.4761781868716404E-2</v>
      </c>
      <c r="H58" s="272">
        <v>8.7099999999999997E-2</v>
      </c>
      <c r="I58" s="272">
        <v>8.7099999999999997E-2</v>
      </c>
      <c r="J58" s="272">
        <v>8.7099999999999997E-2</v>
      </c>
      <c r="K58" s="272">
        <v>8.7099999999999997E-2</v>
      </c>
      <c r="L58" s="279">
        <v>8.7099999999999997E-2</v>
      </c>
    </row>
    <row r="59" spans="1:12" ht="15.75" thickBot="1" x14ac:dyDescent="0.3">
      <c r="A59" s="36"/>
      <c r="B59" s="40"/>
      <c r="C59" s="184"/>
      <c r="D59" s="184"/>
      <c r="E59" s="184"/>
      <c r="F59" s="187"/>
      <c r="G59" s="187"/>
      <c r="H59" s="40"/>
      <c r="I59" s="40"/>
      <c r="J59" s="40"/>
      <c r="K59" s="40"/>
      <c r="L59" s="41"/>
    </row>
    <row r="60" spans="1:12" x14ac:dyDescent="0.25">
      <c r="B60" s="12"/>
      <c r="C60" s="12"/>
      <c r="D60" s="12"/>
      <c r="E60" s="12"/>
      <c r="F60" s="12"/>
      <c r="G60" s="83"/>
      <c r="H60" s="12"/>
      <c r="I60" s="12"/>
      <c r="J60" s="12"/>
      <c r="K60" s="12"/>
      <c r="L60" s="12"/>
    </row>
    <row r="61" spans="1:12" ht="15.75" thickBot="1" x14ac:dyDescent="0.3">
      <c r="A61" s="8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2" x14ac:dyDescent="0.25">
      <c r="A62" s="76" t="s">
        <v>191</v>
      </c>
      <c r="B62" s="39"/>
      <c r="C62" s="39"/>
      <c r="D62" s="39"/>
      <c r="E62" s="39"/>
      <c r="F62" s="39"/>
      <c r="G62" s="123"/>
      <c r="H62" s="39"/>
      <c r="I62" s="39"/>
      <c r="J62" s="39"/>
      <c r="K62" s="39"/>
      <c r="L62" s="45"/>
    </row>
    <row r="63" spans="1:12" x14ac:dyDescent="0.25">
      <c r="A63" s="122"/>
      <c r="B63" s="12"/>
      <c r="C63" s="12"/>
      <c r="D63" s="12"/>
      <c r="E63" s="12"/>
      <c r="F63" s="12"/>
      <c r="G63" s="83"/>
      <c r="H63" s="12"/>
      <c r="I63" s="12"/>
      <c r="J63" s="12"/>
      <c r="K63" s="12"/>
      <c r="L63" s="50"/>
    </row>
    <row r="64" spans="1:12" x14ac:dyDescent="0.25">
      <c r="A64" s="35" t="s">
        <v>186</v>
      </c>
      <c r="B64" s="12"/>
      <c r="C64" s="183">
        <f>C19</f>
        <v>2463</v>
      </c>
      <c r="D64" s="183">
        <f>D19</f>
        <v>2566</v>
      </c>
      <c r="E64" s="183">
        <f>E19</f>
        <v>3119</v>
      </c>
      <c r="F64" s="183">
        <f>F19</f>
        <v>3226</v>
      </c>
      <c r="G64" s="183">
        <f>G19</f>
        <v>3485</v>
      </c>
      <c r="H64" s="251">
        <f>H66*H68</f>
        <v>3380.6487035100699</v>
      </c>
      <c r="I64" s="251">
        <f t="shared" ref="I64:L64" si="23">I66*I68</f>
        <v>3637.0558273495835</v>
      </c>
      <c r="J64" s="251">
        <f t="shared" si="23"/>
        <v>3913.0439380236635</v>
      </c>
      <c r="K64" s="251">
        <f t="shared" si="23"/>
        <v>4210.1176958952574</v>
      </c>
      <c r="L64" s="252">
        <f t="shared" si="23"/>
        <v>4529.8980313977363</v>
      </c>
    </row>
    <row r="65" spans="1:12" ht="8.25" customHeight="1" x14ac:dyDescent="0.25">
      <c r="A65" s="12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50"/>
    </row>
    <row r="66" spans="1:12" x14ac:dyDescent="0.25">
      <c r="A66" s="35" t="s">
        <v>192</v>
      </c>
      <c r="B66" s="12"/>
      <c r="C66" s="183">
        <f>Financials!C55</f>
        <v>132110</v>
      </c>
      <c r="D66" s="183">
        <f>Financials!D55</f>
        <v>151157</v>
      </c>
      <c r="E66" s="183">
        <f>Financials!E55</f>
        <v>157403</v>
      </c>
      <c r="F66" s="183">
        <f>Financials!F55</f>
        <v>152669</v>
      </c>
      <c r="G66" s="183">
        <f>Financials!G55</f>
        <v>159514</v>
      </c>
      <c r="H66" s="104">
        <f>Financials!H55</f>
        <v>171606.5331731</v>
      </c>
      <c r="I66" s="104">
        <f>Financials!I55</f>
        <v>184622.12321571491</v>
      </c>
      <c r="J66" s="104">
        <f>Financials!J55</f>
        <v>198631.67198089664</v>
      </c>
      <c r="K66" s="104">
        <f>Financials!K55</f>
        <v>213711.55816727196</v>
      </c>
      <c r="L66" s="105">
        <f>Financials!L55</f>
        <v>229944.0625074993</v>
      </c>
    </row>
    <row r="67" spans="1:12" ht="7.5" customHeight="1" x14ac:dyDescent="0.25">
      <c r="A67" s="12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50"/>
    </row>
    <row r="68" spans="1:12" x14ac:dyDescent="0.25">
      <c r="A68" s="35" t="s">
        <v>193</v>
      </c>
      <c r="B68" s="12"/>
      <c r="C68" s="186">
        <f>C64/C66</f>
        <v>1.8643554613579593E-2</v>
      </c>
      <c r="D68" s="186">
        <f t="shared" ref="D68:G68" si="24">D64/D66</f>
        <v>1.6975727224012121E-2</v>
      </c>
      <c r="E68" s="186">
        <f t="shared" si="24"/>
        <v>1.9815378360005846E-2</v>
      </c>
      <c r="F68" s="186">
        <f t="shared" si="24"/>
        <v>2.113068140879943E-2</v>
      </c>
      <c r="G68" s="186">
        <f t="shared" si="24"/>
        <v>2.1847612121820029E-2</v>
      </c>
      <c r="H68" s="272">
        <v>1.9699999999999999E-2</v>
      </c>
      <c r="I68" s="272">
        <v>1.9699999999999999E-2</v>
      </c>
      <c r="J68" s="272">
        <v>1.9699999999999999E-2</v>
      </c>
      <c r="K68" s="272">
        <v>1.9699999999999999E-2</v>
      </c>
      <c r="L68" s="279">
        <v>1.9699999999999999E-2</v>
      </c>
    </row>
    <row r="69" spans="1:12" x14ac:dyDescent="0.25">
      <c r="A69" s="35" t="s">
        <v>189</v>
      </c>
      <c r="B69" s="12"/>
      <c r="C69" s="183"/>
      <c r="D69" s="183"/>
      <c r="E69" s="183"/>
      <c r="F69" s="183"/>
      <c r="G69" s="186">
        <f>AVERAGE(C68:G68)</f>
        <v>1.9682590745643404E-2</v>
      </c>
      <c r="H69" s="12"/>
      <c r="I69" s="12"/>
      <c r="J69" s="12"/>
      <c r="K69" s="12"/>
      <c r="L69" s="50"/>
    </row>
    <row r="70" spans="1:12" ht="15.75" thickBot="1" x14ac:dyDescent="0.3">
      <c r="A70" s="124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1"/>
    </row>
    <row r="71" spans="1:12" x14ac:dyDescent="0.25">
      <c r="A71" s="8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15.75" thickBot="1" x14ac:dyDescent="0.3"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25">
      <c r="A73" s="76" t="s">
        <v>194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45"/>
    </row>
    <row r="74" spans="1:12" x14ac:dyDescent="0.25">
      <c r="A74" s="12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50"/>
    </row>
    <row r="75" spans="1:12" x14ac:dyDescent="0.25">
      <c r="A75" s="122" t="s">
        <v>195</v>
      </c>
      <c r="B75" s="183">
        <f>B11</f>
        <v>44860</v>
      </c>
      <c r="C75" s="183">
        <f t="shared" ref="C75:G75" si="25">C11</f>
        <v>48801</v>
      </c>
      <c r="D75" s="183">
        <f t="shared" si="25"/>
        <v>51329</v>
      </c>
      <c r="E75" s="183">
        <f t="shared" si="25"/>
        <v>52275</v>
      </c>
      <c r="F75" s="183">
        <f t="shared" si="25"/>
        <v>53257</v>
      </c>
      <c r="G75" s="183">
        <f t="shared" si="25"/>
        <v>55783</v>
      </c>
      <c r="H75" s="104">
        <f>G75+H80+H81+H82+H83+H87</f>
        <v>59387.325337184695</v>
      </c>
      <c r="I75" s="104">
        <f>H75+I80+I82+I83+I87</f>
        <v>63201.550271252971</v>
      </c>
      <c r="J75" s="104">
        <f>I75+J80+J82+J83+J87</f>
        <v>67237.522787863956</v>
      </c>
      <c r="K75" s="104">
        <f>J75+K80+K82+K83+K87</f>
        <v>71507.75276082792</v>
      </c>
      <c r="L75" s="105">
        <f>K75+L80+L82+L83+L87</f>
        <v>76025.448796731827</v>
      </c>
    </row>
    <row r="76" spans="1:12" x14ac:dyDescent="0.25">
      <c r="A76" s="122" t="s">
        <v>162</v>
      </c>
      <c r="B76" s="189">
        <f>B13</f>
        <v>22090</v>
      </c>
      <c r="C76" s="189">
        <f t="shared" ref="C76:G76" si="26">C13</f>
        <v>24096</v>
      </c>
      <c r="D76" s="189">
        <f t="shared" si="26"/>
        <v>26130</v>
      </c>
      <c r="E76" s="189">
        <f t="shared" si="26"/>
        <v>26644</v>
      </c>
      <c r="F76" s="189">
        <f t="shared" si="26"/>
        <v>27103</v>
      </c>
      <c r="G76" s="189">
        <f t="shared" si="26"/>
        <v>29081</v>
      </c>
      <c r="H76" s="106">
        <f>G76-H84</f>
        <v>32180.055555555555</v>
      </c>
      <c r="I76" s="106">
        <f t="shared" ref="I76:L76" si="27">H76-I84</f>
        <v>35479.351407621369</v>
      </c>
      <c r="J76" s="106">
        <f t="shared" si="27"/>
        <v>38990.5486449132</v>
      </c>
      <c r="K76" s="106">
        <f t="shared" si="27"/>
        <v>42725.966577572312</v>
      </c>
      <c r="L76" s="107">
        <f t="shared" si="27"/>
        <v>46698.619508729418</v>
      </c>
    </row>
    <row r="77" spans="1:12" x14ac:dyDescent="0.25">
      <c r="A77" s="122" t="s">
        <v>163</v>
      </c>
      <c r="B77" s="183">
        <f>B75-B76</f>
        <v>22770</v>
      </c>
      <c r="C77" s="183">
        <f t="shared" ref="C77" si="28">C75-C76</f>
        <v>24705</v>
      </c>
      <c r="D77" s="183">
        <f t="shared" ref="D77" si="29">D75-D76</f>
        <v>25199</v>
      </c>
      <c r="E77" s="183">
        <f t="shared" ref="E77" si="30">E75-E76</f>
        <v>25631</v>
      </c>
      <c r="F77" s="183">
        <f t="shared" ref="F77" si="31">F75-F76</f>
        <v>26154</v>
      </c>
      <c r="G77" s="183">
        <f t="shared" ref="G77" si="32">G75-G76</f>
        <v>26702</v>
      </c>
      <c r="H77" s="104">
        <f>H75-H76</f>
        <v>27207.26978162914</v>
      </c>
      <c r="I77" s="104">
        <f t="shared" ref="I77" si="33">I75-I76</f>
        <v>27722.198863631602</v>
      </c>
      <c r="J77" s="104">
        <f t="shared" ref="J77" si="34">J75-J76</f>
        <v>28246.974142950756</v>
      </c>
      <c r="K77" s="104">
        <f t="shared" ref="K77" si="35">K75-K76</f>
        <v>28781.786183255608</v>
      </c>
      <c r="L77" s="105">
        <f t="shared" ref="L77" si="36">L75-L76</f>
        <v>29326.829288002409</v>
      </c>
    </row>
    <row r="78" spans="1:12" x14ac:dyDescent="0.25">
      <c r="A78" s="12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50"/>
    </row>
    <row r="79" spans="1:12" x14ac:dyDescent="0.25">
      <c r="A79" s="122" t="s">
        <v>164</v>
      </c>
      <c r="B79" s="12"/>
      <c r="C79" s="183">
        <f>C18</f>
        <v>22770</v>
      </c>
      <c r="D79" s="183">
        <f>C88</f>
        <v>24705</v>
      </c>
      <c r="E79" s="183">
        <f t="shared" ref="E79:F79" si="37">D88</f>
        <v>25199</v>
      </c>
      <c r="F79" s="183">
        <f t="shared" si="37"/>
        <v>25631</v>
      </c>
      <c r="G79" s="183">
        <f>F88</f>
        <v>26154</v>
      </c>
      <c r="H79" s="251">
        <f>G88</f>
        <v>26702</v>
      </c>
      <c r="I79" s="251">
        <f t="shared" ref="I79:L79" si="38">H88</f>
        <v>27207.26978162914</v>
      </c>
      <c r="J79" s="251">
        <f t="shared" si="38"/>
        <v>27722.198863631595</v>
      </c>
      <c r="K79" s="251">
        <f t="shared" si="38"/>
        <v>28246.974142950752</v>
      </c>
      <c r="L79" s="252">
        <f t="shared" si="38"/>
        <v>28781.786183255612</v>
      </c>
    </row>
    <row r="80" spans="1:12" x14ac:dyDescent="0.25">
      <c r="A80" s="35" t="s">
        <v>196</v>
      </c>
      <c r="B80" s="12"/>
      <c r="C80" s="183">
        <f t="shared" ref="C80:C85" si="39">C20</f>
        <v>0</v>
      </c>
      <c r="D80" s="183">
        <f t="shared" ref="D80:G80" si="40">D20</f>
        <v>0</v>
      </c>
      <c r="E80" s="183">
        <f t="shared" si="40"/>
        <v>0</v>
      </c>
      <c r="F80" s="183">
        <f t="shared" si="40"/>
        <v>0</v>
      </c>
      <c r="G80" s="183">
        <f t="shared" si="40"/>
        <v>0</v>
      </c>
      <c r="H80" s="12"/>
      <c r="I80" s="12"/>
      <c r="J80" s="12"/>
      <c r="K80" s="12"/>
      <c r="L80" s="50"/>
    </row>
    <row r="81" spans="1:21" x14ac:dyDescent="0.25">
      <c r="A81" s="35" t="s">
        <v>197</v>
      </c>
      <c r="B81" s="12"/>
      <c r="C81" s="183">
        <f t="shared" si="39"/>
        <v>1730</v>
      </c>
      <c r="D81" s="183">
        <f t="shared" ref="D81:G81" si="41">D21</f>
        <v>672</v>
      </c>
      <c r="E81" s="183">
        <f t="shared" si="41"/>
        <v>322</v>
      </c>
      <c r="F81" s="183">
        <f t="shared" si="41"/>
        <v>336</v>
      </c>
      <c r="G81" s="183">
        <f t="shared" si="41"/>
        <v>153</v>
      </c>
      <c r="H81" s="251">
        <v>0</v>
      </c>
      <c r="I81" s="251">
        <v>0</v>
      </c>
      <c r="J81" s="251">
        <v>0</v>
      </c>
      <c r="K81" s="251">
        <v>0</v>
      </c>
      <c r="L81" s="252">
        <v>0</v>
      </c>
    </row>
    <row r="82" spans="1:21" x14ac:dyDescent="0.25">
      <c r="A82" s="35" t="s">
        <v>168</v>
      </c>
      <c r="B82" s="12"/>
      <c r="C82" s="183">
        <f t="shared" si="39"/>
        <v>0</v>
      </c>
      <c r="D82" s="183">
        <f t="shared" ref="D82:G82" si="42">D22</f>
        <v>0</v>
      </c>
      <c r="E82" s="183">
        <f t="shared" si="42"/>
        <v>0</v>
      </c>
      <c r="F82" s="183">
        <f t="shared" si="42"/>
        <v>0</v>
      </c>
      <c r="G82" s="183">
        <f t="shared" si="42"/>
        <v>0</v>
      </c>
      <c r="H82" s="251">
        <v>0</v>
      </c>
      <c r="I82" s="251">
        <v>0</v>
      </c>
      <c r="J82" s="251">
        <v>0</v>
      </c>
      <c r="K82" s="251">
        <v>0</v>
      </c>
      <c r="L82" s="252">
        <v>0</v>
      </c>
    </row>
    <row r="83" spans="1:21" x14ac:dyDescent="0.25">
      <c r="A83" s="35" t="s">
        <v>169</v>
      </c>
      <c r="B83" s="12"/>
      <c r="C83" s="183">
        <f t="shared" si="39"/>
        <v>0</v>
      </c>
      <c r="D83" s="183">
        <f t="shared" ref="D83:G83" si="43">D23</f>
        <v>0</v>
      </c>
      <c r="E83" s="183">
        <f t="shared" si="43"/>
        <v>0</v>
      </c>
      <c r="F83" s="183">
        <f t="shared" si="43"/>
        <v>0</v>
      </c>
      <c r="G83" s="183">
        <f t="shared" si="43"/>
        <v>0</v>
      </c>
      <c r="H83" s="251">
        <f>IF(H31&gt;0,-H31,0)</f>
        <v>-6</v>
      </c>
      <c r="I83" s="251">
        <f t="shared" ref="I83:L83" si="44">IF(I31&gt;0,-I31,0)</f>
        <v>-6</v>
      </c>
      <c r="J83" s="251">
        <f t="shared" si="44"/>
        <v>-6</v>
      </c>
      <c r="K83" s="251">
        <f t="shared" si="44"/>
        <v>-6</v>
      </c>
      <c r="L83" s="252">
        <f t="shared" si="44"/>
        <v>-6</v>
      </c>
    </row>
    <row r="84" spans="1:21" x14ac:dyDescent="0.25">
      <c r="A84" s="35" t="s">
        <v>170</v>
      </c>
      <c r="B84" s="12"/>
      <c r="C84" s="183">
        <f t="shared" si="39"/>
        <v>-2425</v>
      </c>
      <c r="D84" s="183">
        <f t="shared" ref="D84:G85" si="45">D24</f>
        <v>-2650</v>
      </c>
      <c r="E84" s="183">
        <f t="shared" si="45"/>
        <v>-2796</v>
      </c>
      <c r="F84" s="183">
        <f t="shared" si="45"/>
        <v>-3061</v>
      </c>
      <c r="G84" s="183">
        <f t="shared" si="45"/>
        <v>-3336</v>
      </c>
      <c r="H84" s="251">
        <f>-G75/H40</f>
        <v>-3099.0555555555557</v>
      </c>
      <c r="I84" s="251">
        <f t="shared" ref="I84:K84" si="46">-H75/I40</f>
        <v>-3299.2958520658162</v>
      </c>
      <c r="J84" s="251">
        <f t="shared" si="46"/>
        <v>-3511.1972372918317</v>
      </c>
      <c r="K84" s="251">
        <f t="shared" si="46"/>
        <v>-3735.4179326591088</v>
      </c>
      <c r="L84" s="252">
        <f>-K75/L40</f>
        <v>-3972.6529311571067</v>
      </c>
    </row>
    <row r="85" spans="1:21" x14ac:dyDescent="0.25">
      <c r="A85" s="35" t="s">
        <v>171</v>
      </c>
      <c r="B85" s="12"/>
      <c r="C85" s="189">
        <f t="shared" si="39"/>
        <v>167</v>
      </c>
      <c r="D85" s="189">
        <f t="shared" si="45"/>
        <v>-94</v>
      </c>
      <c r="E85" s="189">
        <f t="shared" si="45"/>
        <v>-213</v>
      </c>
      <c r="F85" s="189">
        <f t="shared" si="45"/>
        <v>22</v>
      </c>
      <c r="G85" s="189">
        <f t="shared" si="45"/>
        <v>246</v>
      </c>
      <c r="H85" s="32"/>
      <c r="I85" s="32"/>
      <c r="J85" s="32"/>
      <c r="K85" s="32"/>
      <c r="L85" s="241"/>
    </row>
    <row r="86" spans="1:21" x14ac:dyDescent="0.25">
      <c r="A86" s="122" t="s">
        <v>198</v>
      </c>
      <c r="B86" s="12"/>
      <c r="C86" s="183">
        <f>SUM(C79:C85)</f>
        <v>22242</v>
      </c>
      <c r="D86" s="183">
        <f t="shared" ref="D86" si="47">SUM(D79:D85)</f>
        <v>22633</v>
      </c>
      <c r="E86" s="183">
        <f t="shared" ref="E86" si="48">SUM(E79:E85)</f>
        <v>22512</v>
      </c>
      <c r="F86" s="183">
        <f t="shared" ref="F86" si="49">SUM(F79:F85)</f>
        <v>22928</v>
      </c>
      <c r="G86" s="183">
        <f t="shared" ref="G86" si="50">SUM(G79:G85)</f>
        <v>23217</v>
      </c>
      <c r="H86" s="251">
        <f>SUM(H79:H85)</f>
        <v>23596.944444444445</v>
      </c>
      <c r="I86" s="251">
        <f t="shared" ref="I86:L86" si="51">SUM(I79:I85)</f>
        <v>23901.973929563323</v>
      </c>
      <c r="J86" s="251">
        <f t="shared" si="51"/>
        <v>24205.001626339763</v>
      </c>
      <c r="K86" s="251">
        <f t="shared" si="51"/>
        <v>24505.556210291645</v>
      </c>
      <c r="L86" s="252">
        <f t="shared" si="51"/>
        <v>24803.133252098505</v>
      </c>
    </row>
    <row r="87" spans="1:21" x14ac:dyDescent="0.25">
      <c r="A87" s="35" t="s">
        <v>199</v>
      </c>
      <c r="B87" s="12"/>
      <c r="C87" s="189">
        <f>C19</f>
        <v>2463</v>
      </c>
      <c r="D87" s="189">
        <f t="shared" ref="D87:G87" si="52">D19</f>
        <v>2566</v>
      </c>
      <c r="E87" s="189">
        <f t="shared" si="52"/>
        <v>3119</v>
      </c>
      <c r="F87" s="189">
        <f t="shared" si="52"/>
        <v>3226</v>
      </c>
      <c r="G87" s="189">
        <f t="shared" si="52"/>
        <v>3485</v>
      </c>
      <c r="H87" s="262">
        <f>H88-H86</f>
        <v>3610.3253371846949</v>
      </c>
      <c r="I87" s="262">
        <f t="shared" ref="I87:K87" si="53">I88-I86</f>
        <v>3820.224934068272</v>
      </c>
      <c r="J87" s="262">
        <f t="shared" si="53"/>
        <v>4041.9725166109893</v>
      </c>
      <c r="K87" s="262">
        <f t="shared" si="53"/>
        <v>4276.2299729639672</v>
      </c>
      <c r="L87" s="264">
        <f>L88-L86</f>
        <v>4523.6960359039076</v>
      </c>
    </row>
    <row r="88" spans="1:21" x14ac:dyDescent="0.25">
      <c r="A88" s="122" t="s">
        <v>172</v>
      </c>
      <c r="B88" s="12"/>
      <c r="C88" s="183">
        <f>C86+C87</f>
        <v>24705</v>
      </c>
      <c r="D88" s="183">
        <f t="shared" ref="D88" si="54">D86+D87</f>
        <v>25199</v>
      </c>
      <c r="E88" s="183">
        <f t="shared" ref="E88" si="55">E86+E87</f>
        <v>25631</v>
      </c>
      <c r="F88" s="183">
        <f t="shared" ref="F88" si="56">F86+F87</f>
        <v>26154</v>
      </c>
      <c r="G88" s="183">
        <f t="shared" ref="G88" si="57">G86+G87</f>
        <v>26702</v>
      </c>
      <c r="H88" s="251">
        <f>H91*H93</f>
        <v>27207.26978162914</v>
      </c>
      <c r="I88" s="251">
        <f t="shared" ref="I88:L88" si="58">I91*I93</f>
        <v>27722.198863631595</v>
      </c>
      <c r="J88" s="251">
        <f t="shared" si="58"/>
        <v>28246.974142950752</v>
      </c>
      <c r="K88" s="251">
        <f t="shared" si="58"/>
        <v>28781.786183255612</v>
      </c>
      <c r="L88" s="252">
        <f t="shared" si="58"/>
        <v>29326.829288002413</v>
      </c>
      <c r="O88" s="14"/>
      <c r="P88" s="14"/>
      <c r="Q88" s="14"/>
      <c r="R88" s="14"/>
      <c r="S88" s="14"/>
      <c r="T88" s="14"/>
    </row>
    <row r="89" spans="1:21" x14ac:dyDescent="0.25">
      <c r="A89" s="12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50"/>
    </row>
    <row r="90" spans="1:21" x14ac:dyDescent="0.25">
      <c r="A90" s="35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51"/>
    </row>
    <row r="91" spans="1:21" x14ac:dyDescent="0.25">
      <c r="A91" s="35" t="s">
        <v>200</v>
      </c>
      <c r="B91" s="12"/>
      <c r="C91" s="183">
        <f>C54</f>
        <v>2296</v>
      </c>
      <c r="D91" s="183">
        <f t="shared" ref="D91:L91" si="59">D54</f>
        <v>2317</v>
      </c>
      <c r="E91" s="183">
        <f t="shared" si="59"/>
        <v>2322</v>
      </c>
      <c r="F91" s="183">
        <f t="shared" si="59"/>
        <v>2335</v>
      </c>
      <c r="G91" s="183">
        <f t="shared" si="59"/>
        <v>2347</v>
      </c>
      <c r="H91" s="104">
        <f t="shared" si="59"/>
        <v>2358.3937000000001</v>
      </c>
      <c r="I91" s="104">
        <f t="shared" si="59"/>
        <v>2369.85111577</v>
      </c>
      <c r="J91" s="104">
        <f t="shared" si="59"/>
        <v>2381.3726717600175</v>
      </c>
      <c r="K91" s="104">
        <f t="shared" si="59"/>
        <v>2392.9587957271806</v>
      </c>
      <c r="L91" s="105">
        <f t="shared" si="59"/>
        <v>2404.609918764334</v>
      </c>
    </row>
    <row r="92" spans="1:21" x14ac:dyDescent="0.25">
      <c r="A92" s="35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50"/>
    </row>
    <row r="93" spans="1:21" x14ac:dyDescent="0.25">
      <c r="A93" s="35" t="s">
        <v>201</v>
      </c>
      <c r="B93" s="12"/>
      <c r="C93" s="185">
        <f>C88/C91</f>
        <v>10.760017421602788</v>
      </c>
      <c r="D93" s="185">
        <f t="shared" ref="D93:G93" si="60">D88/D91</f>
        <v>10.875701337936988</v>
      </c>
      <c r="E93" s="185">
        <f t="shared" si="60"/>
        <v>11.03832902670112</v>
      </c>
      <c r="F93" s="185">
        <f t="shared" si="60"/>
        <v>11.200856531049251</v>
      </c>
      <c r="G93" s="185">
        <f t="shared" si="60"/>
        <v>11.377077119727311</v>
      </c>
      <c r="H93" s="256">
        <f>G93*(1+H94)</f>
        <v>11.536356199403492</v>
      </c>
      <c r="I93" s="256">
        <f t="shared" ref="I93:L93" si="61">H93*(1+I94)</f>
        <v>11.697865186195141</v>
      </c>
      <c r="J93" s="256">
        <f t="shared" si="61"/>
        <v>11.861635298801874</v>
      </c>
      <c r="K93" s="256">
        <f t="shared" si="61"/>
        <v>12.027698192985101</v>
      </c>
      <c r="L93" s="257">
        <f t="shared" si="61"/>
        <v>12.196085967686892</v>
      </c>
    </row>
    <row r="94" spans="1:21" x14ac:dyDescent="0.25">
      <c r="A94" s="35" t="s">
        <v>202</v>
      </c>
      <c r="B94" s="12"/>
      <c r="C94" s="183"/>
      <c r="D94" s="190">
        <f>(D93-C93)/C93</f>
        <v>1.0751275932132112E-2</v>
      </c>
      <c r="E94" s="190">
        <f t="shared" ref="E94:G94" si="62">(E93-D93)/D93</f>
        <v>1.4953305879856141E-2</v>
      </c>
      <c r="F94" s="190">
        <f t="shared" si="62"/>
        <v>1.4723922792569871E-2</v>
      </c>
      <c r="G94" s="190">
        <f t="shared" si="62"/>
        <v>1.5732777952254716E-2</v>
      </c>
      <c r="H94" s="274">
        <v>1.4E-2</v>
      </c>
      <c r="I94" s="274">
        <v>1.4E-2</v>
      </c>
      <c r="J94" s="274">
        <v>1.4E-2</v>
      </c>
      <c r="K94" s="274">
        <v>1.4E-2</v>
      </c>
      <c r="L94" s="281">
        <v>1.4E-2</v>
      </c>
    </row>
    <row r="95" spans="1:21" ht="15.75" thickBot="1" x14ac:dyDescent="0.3">
      <c r="A95" s="36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1"/>
      <c r="P95" s="14"/>
      <c r="Q95" s="14"/>
      <c r="R95" s="14"/>
      <c r="S95" s="14"/>
      <c r="T95" s="14"/>
      <c r="U95" s="14"/>
    </row>
    <row r="96" spans="1:21" x14ac:dyDescent="0.25">
      <c r="C96" s="12"/>
      <c r="D96" s="12"/>
      <c r="E96" s="12"/>
      <c r="F96" s="12"/>
      <c r="G96" s="12"/>
      <c r="H96" s="12"/>
      <c r="I96" s="12"/>
      <c r="J96" s="12"/>
      <c r="K96" s="12"/>
      <c r="L96" s="12"/>
      <c r="P96" s="16"/>
      <c r="Q96" s="14"/>
      <c r="R96" s="14"/>
      <c r="S96" s="14"/>
      <c r="T96" s="14"/>
      <c r="U96" s="14"/>
    </row>
    <row r="97" spans="1:21" x14ac:dyDescent="0.25">
      <c r="C97" s="12"/>
      <c r="D97" s="12"/>
      <c r="E97" s="12"/>
      <c r="F97" s="12"/>
      <c r="G97" s="12"/>
      <c r="H97" s="12"/>
      <c r="I97" s="12"/>
      <c r="J97" s="12"/>
      <c r="K97" s="12"/>
      <c r="L97" s="12"/>
      <c r="P97" s="16"/>
      <c r="Q97" s="14"/>
      <c r="R97" s="14"/>
      <c r="S97" s="14"/>
      <c r="T97" s="14"/>
      <c r="U97" s="14"/>
    </row>
    <row r="98" spans="1:21" ht="15.75" thickBot="1" x14ac:dyDescent="0.3">
      <c r="C98" s="12"/>
      <c r="D98" s="12"/>
      <c r="E98" s="12"/>
      <c r="F98" s="12"/>
      <c r="G98" s="12"/>
      <c r="H98" s="12"/>
      <c r="I98" s="12"/>
      <c r="J98" s="12"/>
      <c r="K98" s="12"/>
      <c r="L98" s="12"/>
      <c r="P98" s="14"/>
      <c r="Q98" s="14"/>
      <c r="R98" s="14"/>
      <c r="S98" s="14"/>
      <c r="T98" s="14"/>
      <c r="U98" s="14"/>
    </row>
    <row r="99" spans="1:21" x14ac:dyDescent="0.25">
      <c r="A99" s="38"/>
      <c r="B99" s="191"/>
      <c r="C99" s="39"/>
      <c r="D99" s="39"/>
      <c r="E99" s="39"/>
      <c r="F99" s="39"/>
      <c r="G99" s="39"/>
      <c r="H99" s="39"/>
      <c r="I99" s="39"/>
      <c r="J99" s="39"/>
      <c r="K99" s="39"/>
      <c r="L99" s="45"/>
      <c r="P99" s="14"/>
      <c r="Q99" s="14"/>
      <c r="R99" s="14"/>
      <c r="S99" s="14"/>
      <c r="T99" s="14"/>
      <c r="U99" s="12"/>
    </row>
    <row r="100" spans="1:21" x14ac:dyDescent="0.25">
      <c r="A100" s="122" t="s">
        <v>203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50"/>
    </row>
    <row r="101" spans="1:21" x14ac:dyDescent="0.25">
      <c r="A101" s="35" t="s">
        <v>204</v>
      </c>
      <c r="B101" s="12"/>
      <c r="C101" s="98">
        <v>337</v>
      </c>
      <c r="D101" s="98">
        <f t="shared" ref="D101" si="63">C106</f>
        <v>3612</v>
      </c>
      <c r="E101" s="98">
        <f t="shared" ref="E101" si="64">D106</f>
        <v>3503</v>
      </c>
      <c r="F101" s="98">
        <f t="shared" ref="F101" si="65">E106</f>
        <v>3323</v>
      </c>
      <c r="G101" s="98">
        <f t="shared" ref="G101" si="66">F106</f>
        <v>3606</v>
      </c>
      <c r="H101" s="251">
        <f>G106</f>
        <v>8983</v>
      </c>
      <c r="I101" s="251">
        <f t="shared" ref="I101:L101" si="67">H106</f>
        <v>8430</v>
      </c>
      <c r="J101" s="251">
        <f t="shared" si="67"/>
        <v>7877</v>
      </c>
      <c r="K101" s="251">
        <f t="shared" si="67"/>
        <v>7332</v>
      </c>
      <c r="L101" s="252">
        <f t="shared" si="67"/>
        <v>6804</v>
      </c>
    </row>
    <row r="102" spans="1:21" x14ac:dyDescent="0.25">
      <c r="A102" s="35" t="s">
        <v>205</v>
      </c>
      <c r="B102" s="12"/>
      <c r="C102" s="98">
        <v>3300</v>
      </c>
      <c r="D102" s="98">
        <v>65</v>
      </c>
      <c r="E102" s="98"/>
      <c r="F102" s="98">
        <v>469</v>
      </c>
      <c r="G102" s="98">
        <v>5780</v>
      </c>
      <c r="H102" s="251">
        <v>0</v>
      </c>
      <c r="I102" s="251">
        <v>0</v>
      </c>
      <c r="J102" s="251">
        <v>0</v>
      </c>
      <c r="K102" s="251">
        <v>0</v>
      </c>
      <c r="L102" s="252">
        <v>0</v>
      </c>
    </row>
    <row r="103" spans="1:21" x14ac:dyDescent="0.25">
      <c r="A103" s="35" t="s">
        <v>206</v>
      </c>
      <c r="B103" s="12"/>
      <c r="C103" s="98"/>
      <c r="D103" s="98"/>
      <c r="E103" s="98"/>
      <c r="F103" s="98"/>
      <c r="G103" s="98"/>
      <c r="H103" s="12"/>
      <c r="I103" s="12"/>
      <c r="J103" s="12"/>
      <c r="K103" s="12"/>
      <c r="L103" s="50"/>
    </row>
    <row r="104" spans="1:21" x14ac:dyDescent="0.25">
      <c r="A104" s="35" t="s">
        <v>207</v>
      </c>
      <c r="B104" s="12"/>
      <c r="C104" s="98">
        <v>-25</v>
      </c>
      <c r="D104" s="98">
        <v>-174</v>
      </c>
      <c r="E104" s="98">
        <v>-179</v>
      </c>
      <c r="F104" s="98">
        <v>-186</v>
      </c>
      <c r="G104" s="98">
        <v>-425</v>
      </c>
      <c r="H104" s="251">
        <v>-553</v>
      </c>
      <c r="I104" s="251">
        <v>-553</v>
      </c>
      <c r="J104" s="251">
        <v>-545</v>
      </c>
      <c r="K104" s="251">
        <v>-528</v>
      </c>
      <c r="L104" s="252">
        <v>-486</v>
      </c>
    </row>
    <row r="105" spans="1:21" x14ac:dyDescent="0.25">
      <c r="A105" s="35" t="s">
        <v>208</v>
      </c>
      <c r="B105" s="12"/>
      <c r="C105" s="119"/>
      <c r="D105" s="119"/>
      <c r="E105" s="119">
        <v>-1</v>
      </c>
      <c r="F105" s="119"/>
      <c r="G105" s="119">
        <v>22</v>
      </c>
      <c r="H105" s="32"/>
      <c r="I105" s="32"/>
      <c r="J105" s="32"/>
      <c r="K105" s="32"/>
      <c r="L105" s="241"/>
    </row>
    <row r="106" spans="1:21" ht="15.75" thickBot="1" x14ac:dyDescent="0.3">
      <c r="A106" s="35" t="s">
        <v>209</v>
      </c>
      <c r="B106" s="12"/>
      <c r="C106" s="129">
        <f t="shared" ref="C106:E106" si="68">SUM(C101:C105)</f>
        <v>3612</v>
      </c>
      <c r="D106" s="129">
        <f t="shared" si="68"/>
        <v>3503</v>
      </c>
      <c r="E106" s="129">
        <f t="shared" si="68"/>
        <v>3323</v>
      </c>
      <c r="F106" s="129">
        <f t="shared" ref="F106" si="69">SUM(F101:F105)</f>
        <v>3606</v>
      </c>
      <c r="G106" s="129">
        <f>SUM(G101:G105)</f>
        <v>8983</v>
      </c>
      <c r="H106" s="275">
        <f t="shared" ref="H106:L106" si="70">SUM(H101:H105)</f>
        <v>8430</v>
      </c>
      <c r="I106" s="275">
        <f t="shared" si="70"/>
        <v>7877</v>
      </c>
      <c r="J106" s="275">
        <f t="shared" si="70"/>
        <v>7332</v>
      </c>
      <c r="K106" s="275">
        <f t="shared" si="70"/>
        <v>6804</v>
      </c>
      <c r="L106" s="280">
        <f t="shared" si="70"/>
        <v>6318</v>
      </c>
    </row>
    <row r="107" spans="1:21" ht="15.75" thickTop="1" x14ac:dyDescent="0.25">
      <c r="A107" s="35"/>
      <c r="B107" s="14"/>
      <c r="C107" s="14"/>
      <c r="D107" s="14"/>
      <c r="E107" s="14"/>
      <c r="F107" s="14"/>
      <c r="G107" s="14"/>
      <c r="H107" s="12"/>
      <c r="I107" s="12"/>
      <c r="J107" s="12"/>
      <c r="K107" s="12"/>
      <c r="L107" s="50"/>
    </row>
    <row r="108" spans="1:21" x14ac:dyDescent="0.25">
      <c r="A108" s="122" t="s">
        <v>13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50"/>
    </row>
    <row r="109" spans="1:21" x14ac:dyDescent="0.25">
      <c r="A109" s="35" t="s">
        <v>204</v>
      </c>
      <c r="B109" s="98">
        <v>2252</v>
      </c>
      <c r="C109" s="98">
        <f>B113</f>
        <v>2254</v>
      </c>
      <c r="D109" s="98">
        <f t="shared" ref="D109" si="71">C113</f>
        <v>7126</v>
      </c>
      <c r="E109" s="98">
        <f t="shared" ref="E109" si="72">D113</f>
        <v>7449</v>
      </c>
      <c r="F109" s="98">
        <f t="shared" ref="F109" si="73">E113</f>
        <v>7444</v>
      </c>
      <c r="G109" s="98">
        <f t="shared" ref="G109" si="74">F113</f>
        <v>8455</v>
      </c>
      <c r="H109" s="251">
        <f>G113</f>
        <v>19475</v>
      </c>
      <c r="I109" s="251">
        <f t="shared" ref="I109:L109" si="75">H113</f>
        <v>19475</v>
      </c>
      <c r="J109" s="251">
        <f t="shared" si="75"/>
        <v>19475</v>
      </c>
      <c r="K109" s="251">
        <f t="shared" si="75"/>
        <v>19475</v>
      </c>
      <c r="L109" s="252">
        <f t="shared" si="75"/>
        <v>19475</v>
      </c>
    </row>
    <row r="110" spans="1:21" x14ac:dyDescent="0.25">
      <c r="A110" s="35" t="s">
        <v>210</v>
      </c>
      <c r="B110" s="98">
        <v>0</v>
      </c>
      <c r="C110" s="98">
        <v>4870</v>
      </c>
      <c r="D110" s="98">
        <v>323</v>
      </c>
      <c r="E110" s="98"/>
      <c r="F110" s="98">
        <v>998</v>
      </c>
      <c r="G110" s="98">
        <f>23+11025</f>
        <v>11048</v>
      </c>
      <c r="H110" s="12"/>
      <c r="I110" s="12"/>
      <c r="J110" s="12"/>
      <c r="K110" s="12"/>
      <c r="L110" s="50"/>
    </row>
    <row r="111" spans="1:21" x14ac:dyDescent="0.25">
      <c r="A111" s="35" t="s">
        <v>211</v>
      </c>
      <c r="B111" s="98">
        <v>0</v>
      </c>
      <c r="C111" s="98"/>
      <c r="D111" s="98"/>
      <c r="E111" s="98"/>
      <c r="F111" s="98"/>
      <c r="G111" s="98"/>
      <c r="H111" s="12"/>
      <c r="I111" s="12"/>
      <c r="J111" s="12"/>
      <c r="K111" s="12"/>
      <c r="L111" s="50"/>
      <c r="S111" s="12"/>
    </row>
    <row r="112" spans="1:21" x14ac:dyDescent="0.25">
      <c r="A112" s="35" t="s">
        <v>83</v>
      </c>
      <c r="B112" s="119">
        <v>2</v>
      </c>
      <c r="C112" s="119">
        <v>2</v>
      </c>
      <c r="D112" s="119"/>
      <c r="E112" s="119">
        <v>-5</v>
      </c>
      <c r="F112" s="119">
        <v>13</v>
      </c>
      <c r="G112" s="119">
        <v>-28</v>
      </c>
      <c r="H112" s="32"/>
      <c r="I112" s="32"/>
      <c r="J112" s="32"/>
      <c r="K112" s="32"/>
      <c r="L112" s="241"/>
    </row>
    <row r="113" spans="1:12" ht="15.75" thickBot="1" x14ac:dyDescent="0.3">
      <c r="A113" s="35" t="s">
        <v>209</v>
      </c>
      <c r="B113" s="129">
        <f t="shared" ref="B113:F113" si="76">SUM(B109:B112)</f>
        <v>2254</v>
      </c>
      <c r="C113" s="129">
        <f t="shared" si="76"/>
        <v>7126</v>
      </c>
      <c r="D113" s="129">
        <f t="shared" si="76"/>
        <v>7449</v>
      </c>
      <c r="E113" s="129">
        <f t="shared" si="76"/>
        <v>7444</v>
      </c>
      <c r="F113" s="129">
        <f t="shared" si="76"/>
        <v>8455</v>
      </c>
      <c r="G113" s="129">
        <f t="shared" ref="G113:L113" si="77">SUM(G109:G112)</f>
        <v>19475</v>
      </c>
      <c r="H113" s="275">
        <f t="shared" si="77"/>
        <v>19475</v>
      </c>
      <c r="I113" s="275">
        <f t="shared" si="77"/>
        <v>19475</v>
      </c>
      <c r="J113" s="275">
        <f t="shared" si="77"/>
        <v>19475</v>
      </c>
      <c r="K113" s="275">
        <f t="shared" si="77"/>
        <v>19475</v>
      </c>
      <c r="L113" s="280">
        <f t="shared" si="77"/>
        <v>19475</v>
      </c>
    </row>
    <row r="114" spans="1:12" ht="15.75" thickTop="1" x14ac:dyDescent="0.25">
      <c r="A114" s="35"/>
      <c r="B114" s="14"/>
      <c r="C114" s="14"/>
      <c r="D114" s="14"/>
      <c r="E114" s="14"/>
      <c r="F114" s="14"/>
      <c r="G114" s="14"/>
      <c r="H114" s="12"/>
      <c r="I114" s="12"/>
      <c r="J114" s="12"/>
      <c r="K114" s="12"/>
      <c r="L114" s="50"/>
    </row>
    <row r="115" spans="1:12" x14ac:dyDescent="0.25">
      <c r="A115" s="35" t="s">
        <v>212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50"/>
    </row>
    <row r="116" spans="1:12" ht="15.75" thickBot="1" x14ac:dyDescent="0.3">
      <c r="A116" s="36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1"/>
    </row>
    <row r="117" spans="1:12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1:12" x14ac:dyDescent="0.25">
      <c r="B118" s="14"/>
      <c r="C118" s="14"/>
      <c r="D118" s="14"/>
      <c r="E118" s="14"/>
      <c r="F118" s="14"/>
      <c r="G118" s="14"/>
      <c r="H118" s="12"/>
      <c r="I118" s="12"/>
      <c r="J118" s="12"/>
      <c r="K118" s="12"/>
      <c r="L118" s="12"/>
    </row>
    <row r="119" spans="1:12" x14ac:dyDescent="0.25">
      <c r="H119" s="12"/>
      <c r="I119" s="12"/>
      <c r="J119" s="12"/>
      <c r="K119" s="12"/>
      <c r="L119" s="12"/>
    </row>
    <row r="120" spans="1:12" ht="15.75" thickBot="1" x14ac:dyDescent="0.3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1:12" x14ac:dyDescent="0.25">
      <c r="A121" s="76" t="s">
        <v>213</v>
      </c>
      <c r="B121" s="192">
        <f>Financials!B16</f>
        <v>807</v>
      </c>
      <c r="C121" s="192">
        <f>Financials!C16</f>
        <v>699</v>
      </c>
      <c r="D121" s="192">
        <f>Financials!D16</f>
        <v>702</v>
      </c>
      <c r="E121" s="192">
        <f>Financials!E16</f>
        <v>635</v>
      </c>
      <c r="F121" s="192">
        <f>Financials!F16</f>
        <v>656</v>
      </c>
      <c r="G121" s="192">
        <f>Financials!G16</f>
        <v>684</v>
      </c>
      <c r="H121" s="267">
        <f>Financials!H55*'Long Term Asset &amp; Liab'!H122</f>
        <v>772.22939927894993</v>
      </c>
      <c r="I121" s="267">
        <f>Financials!I55*'Long Term Asset &amp; Liab'!I122</f>
        <v>830.799554470717</v>
      </c>
      <c r="J121" s="267">
        <f>Financials!J55*'Long Term Asset &amp; Liab'!J122</f>
        <v>893.84252391403481</v>
      </c>
      <c r="K121" s="267">
        <f>Financials!K55*'Long Term Asset &amp; Liab'!K122</f>
        <v>961.70201175272371</v>
      </c>
      <c r="L121" s="268">
        <f>Financials!L55*'Long Term Asset &amp; Liab'!L122</f>
        <v>1034.7482812837468</v>
      </c>
    </row>
    <row r="122" spans="1:12" x14ac:dyDescent="0.25">
      <c r="A122" s="35" t="s">
        <v>214</v>
      </c>
      <c r="B122" s="186">
        <f>B121/Financials!B55</f>
        <v>7.3213880698571104E-3</v>
      </c>
      <c r="C122" s="186">
        <f>C121/Financials!C55</f>
        <v>5.2910453410037091E-3</v>
      </c>
      <c r="D122" s="186">
        <f>D121/Financials!D55</f>
        <v>4.6441779077383118E-3</v>
      </c>
      <c r="E122" s="186">
        <f>E121/Financials!E55</f>
        <v>4.0342306055157779E-3</v>
      </c>
      <c r="F122" s="186">
        <f>F121/Financials!F55</f>
        <v>4.2968775586399331E-3</v>
      </c>
      <c r="G122" s="186">
        <f>G121/Financials!G55</f>
        <v>4.2880248755595117E-3</v>
      </c>
      <c r="H122" s="272">
        <v>4.4999999999999997E-3</v>
      </c>
      <c r="I122" s="272">
        <v>4.4999999999999997E-3</v>
      </c>
      <c r="J122" s="272">
        <v>4.4999999999999997E-3</v>
      </c>
      <c r="K122" s="272">
        <v>4.4999999999999997E-3</v>
      </c>
      <c r="L122" s="279">
        <v>4.4999999999999997E-3</v>
      </c>
    </row>
    <row r="123" spans="1:12" ht="15.75" thickBot="1" x14ac:dyDescent="0.3">
      <c r="A123" s="36" t="s">
        <v>215</v>
      </c>
      <c r="B123" s="187"/>
      <c r="C123" s="187"/>
      <c r="D123" s="187"/>
      <c r="E123" s="187"/>
      <c r="F123" s="187"/>
      <c r="G123" s="187">
        <f>AVERAGE(C122:G122)</f>
        <v>4.5108712576914485E-3</v>
      </c>
      <c r="H123" s="42"/>
      <c r="I123" s="42"/>
      <c r="J123" s="42"/>
      <c r="K123" s="42"/>
      <c r="L123" s="44"/>
    </row>
    <row r="125" spans="1:12" ht="15.75" thickBot="1" x14ac:dyDescent="0.3"/>
    <row r="126" spans="1:12" x14ac:dyDescent="0.25">
      <c r="A126" s="76" t="s">
        <v>216</v>
      </c>
      <c r="B126" s="192">
        <f>Financials!B35</f>
        <v>1535</v>
      </c>
      <c r="C126" s="192">
        <f>Financials!C35</f>
        <v>1807</v>
      </c>
      <c r="D126" s="192">
        <f>Financials!D35</f>
        <v>2013</v>
      </c>
      <c r="E126" s="192">
        <f>Financials!E35</f>
        <v>2566</v>
      </c>
      <c r="F126" s="192">
        <f>Financials!F35</f>
        <v>2783</v>
      </c>
      <c r="G126" s="192">
        <f>Financials!G35</f>
        <v>2738</v>
      </c>
      <c r="H126" s="267">
        <f>Financials!H55*'Long Term Asset &amp; Liab'!H127</f>
        <v>2694.2225708176697</v>
      </c>
      <c r="I126" s="267">
        <f>Financials!I55*'Long Term Asset &amp; Liab'!I127</f>
        <v>2898.5673344867237</v>
      </c>
      <c r="J126" s="267">
        <f>Financials!J55*'Long Term Asset &amp; Liab'!J127</f>
        <v>3118.517250100077</v>
      </c>
      <c r="K126" s="267">
        <f>Financials!K55*'Long Term Asset &amp; Liab'!K127</f>
        <v>3355.2714632261695</v>
      </c>
      <c r="L126" s="268">
        <f>Financials!L55*'Long Term Asset &amp; Liab'!L127</f>
        <v>3610.1217813677385</v>
      </c>
    </row>
    <row r="127" spans="1:12" x14ac:dyDescent="0.25">
      <c r="A127" s="35" t="s">
        <v>214</v>
      </c>
      <c r="B127" s="186">
        <f>B126/Financials!B55</f>
        <v>1.3926060331140848E-2</v>
      </c>
      <c r="C127" s="186">
        <f>C126/Financials!C55</f>
        <v>1.3677995609719173E-2</v>
      </c>
      <c r="D127" s="186">
        <f>D126/Financials!D55</f>
        <v>1.3317279385010287E-2</v>
      </c>
      <c r="E127" s="186">
        <f>E126/Financials!E55</f>
        <v>1.6302103517722027E-2</v>
      </c>
      <c r="F127" s="186">
        <f>F126/Financials!F55</f>
        <v>1.8228979033071548E-2</v>
      </c>
      <c r="G127" s="186">
        <f>G126/Financials!G55</f>
        <v>1.7164637586669508E-2</v>
      </c>
      <c r="H127" s="272">
        <v>1.5699999999999999E-2</v>
      </c>
      <c r="I127" s="272">
        <v>1.5699999999999999E-2</v>
      </c>
      <c r="J127" s="272">
        <v>1.5699999999999999E-2</v>
      </c>
      <c r="K127" s="272">
        <v>1.5699999999999999E-2</v>
      </c>
      <c r="L127" s="279">
        <v>1.5699999999999999E-2</v>
      </c>
    </row>
    <row r="128" spans="1:12" ht="15.75" thickBot="1" x14ac:dyDescent="0.3">
      <c r="A128" s="36" t="s">
        <v>215</v>
      </c>
      <c r="B128" s="187"/>
      <c r="C128" s="187"/>
      <c r="D128" s="187"/>
      <c r="E128" s="187"/>
      <c r="F128" s="187"/>
      <c r="G128" s="187">
        <f>AVERAGE(C127:G127)</f>
        <v>1.5738199026438509E-2</v>
      </c>
      <c r="H128" s="42"/>
      <c r="I128" s="42"/>
      <c r="J128" s="42"/>
      <c r="K128" s="42"/>
      <c r="L128" s="44"/>
    </row>
    <row r="130" spans="1:12" ht="15.75" thickBot="1" x14ac:dyDescent="0.3"/>
    <row r="131" spans="1:12" x14ac:dyDescent="0.25">
      <c r="A131" s="76" t="s">
        <v>217</v>
      </c>
      <c r="B131" s="188">
        <f>Financials!B34</f>
        <v>706</v>
      </c>
      <c r="C131" s="188">
        <f>Financials!C34</f>
        <v>1131</v>
      </c>
      <c r="D131" s="188">
        <f>Financials!D34</f>
        <v>909</v>
      </c>
      <c r="E131" s="188">
        <f>Financials!E34</f>
        <v>1019</v>
      </c>
      <c r="F131" s="188">
        <f>Financials!F34</f>
        <v>863</v>
      </c>
      <c r="G131" s="188">
        <f>Financials!G34</f>
        <v>1962</v>
      </c>
      <c r="H131" s="195">
        <f>H137*H139</f>
        <v>1575.8956800513292</v>
      </c>
      <c r="I131" s="195">
        <f t="shared" ref="I131:L131" si="78">I137*I139</f>
        <v>1576.3042321730475</v>
      </c>
      <c r="J131" s="195">
        <f t="shared" si="78"/>
        <v>1579.2067319322011</v>
      </c>
      <c r="K131" s="195">
        <f t="shared" si="78"/>
        <v>1585.052304610839</v>
      </c>
      <c r="L131" s="196">
        <f t="shared" si="78"/>
        <v>1594.7644968821062</v>
      </c>
    </row>
    <row r="132" spans="1:12" x14ac:dyDescent="0.25">
      <c r="A132" s="122"/>
      <c r="B132" s="12"/>
      <c r="C132" s="12"/>
      <c r="D132" s="12"/>
      <c r="E132" s="12"/>
      <c r="F132" s="12"/>
      <c r="G132" s="12"/>
      <c r="H132" s="236"/>
      <c r="I132" s="236"/>
      <c r="J132" s="236"/>
      <c r="K132" s="236"/>
      <c r="L132" s="193"/>
    </row>
    <row r="133" spans="1:12" x14ac:dyDescent="0.25">
      <c r="A133" s="87" t="s">
        <v>218</v>
      </c>
      <c r="B133" s="12"/>
      <c r="C133" s="12"/>
      <c r="D133" s="12"/>
      <c r="E133" s="12"/>
      <c r="F133" s="12"/>
      <c r="G133" s="12"/>
      <c r="H133" s="236"/>
      <c r="I133" s="236"/>
      <c r="J133" s="236"/>
      <c r="K133" s="236"/>
      <c r="L133" s="193"/>
    </row>
    <row r="134" spans="1:12" x14ac:dyDescent="0.25">
      <c r="A134" s="35" t="s">
        <v>219</v>
      </c>
      <c r="B134" s="183">
        <f>Financials!B12</f>
        <v>22770</v>
      </c>
      <c r="C134" s="183">
        <f>Financials!C12</f>
        <v>24705</v>
      </c>
      <c r="D134" s="183">
        <f>Financials!D12</f>
        <v>25199</v>
      </c>
      <c r="E134" s="183">
        <f>Financials!E12</f>
        <v>25631</v>
      </c>
      <c r="F134" s="183">
        <f>Financials!F12</f>
        <v>26154</v>
      </c>
      <c r="G134" s="183">
        <f>Financials!G12</f>
        <v>26702</v>
      </c>
      <c r="H134" s="104">
        <f>Financials!H12</f>
        <v>27196.247554242284</v>
      </c>
      <c r="I134" s="104">
        <f>Financials!I12</f>
        <v>27763.532593463198</v>
      </c>
      <c r="J134" s="104">
        <f>Financials!J12</f>
        <v>28410.018599028008</v>
      </c>
      <c r="K134" s="104">
        <f>Financials!K12</f>
        <v>29142.409252127232</v>
      </c>
      <c r="L134" s="105">
        <f>Financials!L12</f>
        <v>29967.996394479233</v>
      </c>
    </row>
    <row r="135" spans="1:12" x14ac:dyDescent="0.25">
      <c r="A135" s="35" t="s">
        <v>220</v>
      </c>
      <c r="B135" s="183">
        <f>Financials!B14</f>
        <v>2254</v>
      </c>
      <c r="C135" s="183">
        <f>Financials!C14</f>
        <v>7126</v>
      </c>
      <c r="D135" s="183">
        <f>Financials!D14</f>
        <v>7449</v>
      </c>
      <c r="E135" s="183">
        <f>Financials!E14</f>
        <v>7444</v>
      </c>
      <c r="F135" s="183">
        <f>Financials!F14</f>
        <v>8455</v>
      </c>
      <c r="G135" s="183">
        <f>Financials!G14</f>
        <v>19475</v>
      </c>
      <c r="H135" s="104">
        <f>Financials!H14</f>
        <v>19475</v>
      </c>
      <c r="I135" s="104">
        <f>Financials!I14</f>
        <v>19475</v>
      </c>
      <c r="J135" s="104">
        <f>Financials!J14</f>
        <v>19475</v>
      </c>
      <c r="K135" s="104">
        <f>Financials!K14</f>
        <v>19475</v>
      </c>
      <c r="L135" s="105">
        <f>Financials!L14</f>
        <v>19475</v>
      </c>
    </row>
    <row r="136" spans="1:12" x14ac:dyDescent="0.25">
      <c r="A136" s="35" t="s">
        <v>221</v>
      </c>
      <c r="B136" s="189">
        <f>Financials!B15</f>
        <v>0</v>
      </c>
      <c r="C136" s="189">
        <f>Financials!C15</f>
        <v>3612</v>
      </c>
      <c r="D136" s="189">
        <f>Financials!D15</f>
        <v>3503</v>
      </c>
      <c r="E136" s="189">
        <f>Financials!E15</f>
        <v>3323</v>
      </c>
      <c r="F136" s="189">
        <f>Financials!F15</f>
        <v>3606</v>
      </c>
      <c r="G136" s="189">
        <f>Financials!G15</f>
        <v>8983</v>
      </c>
      <c r="H136" s="106">
        <f>Financials!H15</f>
        <v>8430</v>
      </c>
      <c r="I136" s="106">
        <f>Financials!I15</f>
        <v>7877</v>
      </c>
      <c r="J136" s="106">
        <f>Financials!J15</f>
        <v>7332</v>
      </c>
      <c r="K136" s="106">
        <f>Financials!K15</f>
        <v>6804</v>
      </c>
      <c r="L136" s="107">
        <f>Financials!L15</f>
        <v>6318</v>
      </c>
    </row>
    <row r="137" spans="1:12" x14ac:dyDescent="0.25">
      <c r="A137" s="35" t="s">
        <v>112</v>
      </c>
      <c r="B137" s="183">
        <f>SUM(B134:B136)</f>
        <v>25024</v>
      </c>
      <c r="C137" s="183">
        <f t="shared" ref="C137:G137" si="79">SUM(C134:C136)</f>
        <v>35443</v>
      </c>
      <c r="D137" s="183">
        <f t="shared" si="79"/>
        <v>36151</v>
      </c>
      <c r="E137" s="183">
        <f t="shared" si="79"/>
        <v>36398</v>
      </c>
      <c r="F137" s="183">
        <f t="shared" si="79"/>
        <v>38215</v>
      </c>
      <c r="G137" s="183">
        <f t="shared" si="79"/>
        <v>55160</v>
      </c>
      <c r="H137" s="104">
        <f t="shared" ref="H137" si="80">SUM(H134:H136)</f>
        <v>55101.247554242284</v>
      </c>
      <c r="I137" s="104">
        <f t="shared" ref="I137" si="81">SUM(I134:I136)</f>
        <v>55115.532593463198</v>
      </c>
      <c r="J137" s="104">
        <f t="shared" ref="J137" si="82">SUM(J134:J136)</f>
        <v>55217.018599028008</v>
      </c>
      <c r="K137" s="104">
        <f t="shared" ref="K137" si="83">SUM(K134:K136)</f>
        <v>55421.409252127232</v>
      </c>
      <c r="L137" s="105">
        <f t="shared" ref="L137" si="84">SUM(L134:L136)</f>
        <v>55760.996394479233</v>
      </c>
    </row>
    <row r="138" spans="1:12" x14ac:dyDescent="0.25">
      <c r="A138" s="35"/>
      <c r="B138" s="12"/>
      <c r="C138" s="12"/>
      <c r="D138" s="12"/>
      <c r="E138" s="12"/>
      <c r="F138" s="12"/>
      <c r="G138" s="12"/>
      <c r="H138" s="236"/>
      <c r="I138" s="236"/>
      <c r="J138" s="236"/>
      <c r="K138" s="236"/>
      <c r="L138" s="193"/>
    </row>
    <row r="139" spans="1:12" x14ac:dyDescent="0.25">
      <c r="A139" s="35" t="s">
        <v>222</v>
      </c>
      <c r="B139" s="186">
        <f>B131/B137</f>
        <v>2.8212915601023018E-2</v>
      </c>
      <c r="C139" s="186">
        <f t="shared" ref="C139:G139" si="85">C131/C137</f>
        <v>3.1910391332562141E-2</v>
      </c>
      <c r="D139" s="186">
        <f t="shared" si="85"/>
        <v>2.5144532654698348E-2</v>
      </c>
      <c r="E139" s="186">
        <f t="shared" si="85"/>
        <v>2.7996043738666959E-2</v>
      </c>
      <c r="F139" s="186">
        <f t="shared" si="85"/>
        <v>2.258275546251472E-2</v>
      </c>
      <c r="G139" s="186">
        <f t="shared" si="85"/>
        <v>3.556925308194344E-2</v>
      </c>
      <c r="H139" s="48">
        <v>2.86E-2</v>
      </c>
      <c r="I139" s="48">
        <v>2.86E-2</v>
      </c>
      <c r="J139" s="48">
        <v>2.86E-2</v>
      </c>
      <c r="K139" s="48">
        <v>2.86E-2</v>
      </c>
      <c r="L139" s="51">
        <v>2.86E-2</v>
      </c>
    </row>
    <row r="140" spans="1:12" ht="15.75" thickBot="1" x14ac:dyDescent="0.3">
      <c r="A140" s="36" t="s">
        <v>215</v>
      </c>
      <c r="B140" s="194"/>
      <c r="C140" s="194"/>
      <c r="D140" s="194"/>
      <c r="E140" s="194"/>
      <c r="F140" s="194"/>
      <c r="G140" s="187">
        <f>AVERAGE(C139:G139)</f>
        <v>2.8640595254077122E-2</v>
      </c>
      <c r="H140" s="42"/>
      <c r="I140" s="42"/>
      <c r="J140" s="42"/>
      <c r="K140" s="42"/>
      <c r="L140" s="44"/>
    </row>
    <row r="141" spans="1:12" x14ac:dyDescent="0.25">
      <c r="G141" s="46"/>
    </row>
    <row r="143" spans="1:12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1:12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2:12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2:12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2:12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2:12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2:12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2:12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2:12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2:12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2:12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2:12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2:12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2:12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2:12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2:12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2:12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2:12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2:12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2:12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2:12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2:12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2:12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2:12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2:12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2:12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2:12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2:12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2:12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2:12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2:12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2:12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2:12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2:12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2:12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2:12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2:12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2:12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2:12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2:12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2:12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2:12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2:12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2:12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2:12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2:12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2:12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2:12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2:12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2:12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2:12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2:12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2:12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2:12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2:12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2:12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2:12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2:12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2:12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2:12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2:12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2:12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2:12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2:12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2:12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2:12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2:12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2:12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2:12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2:12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2:12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2:12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spans="2:12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spans="2:12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spans="2:12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spans="2:12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spans="2:12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2:12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spans="2:12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spans="2:12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spans="2:12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spans="2:12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spans="2:12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2:12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spans="2:12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spans="2:12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spans="2:12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spans="2:12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spans="2:12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spans="2:12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spans="2:12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spans="2:12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spans="2:12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spans="2:12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2:12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spans="2:12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2:12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2:12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2:12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2:12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spans="2:12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spans="2:12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2:12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spans="2:12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spans="2:12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2:12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spans="2:12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2:12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spans="2:12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2:12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2:12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2:12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spans="2:12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2:12" x14ac:dyDescent="0.25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spans="2:12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2:12" x14ac:dyDescent="0.25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spans="2:12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2:12" x14ac:dyDescent="0.25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spans="2:12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spans="2:12" x14ac:dyDescent="0.25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spans="2:12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spans="2:12" x14ac:dyDescent="0.2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spans="2:12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spans="2:12" x14ac:dyDescent="0.25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spans="2:12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spans="2:12" x14ac:dyDescent="0.25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spans="2:12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spans="2:12" x14ac:dyDescent="0.25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spans="2:12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spans="2:12" x14ac:dyDescent="0.25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spans="2:12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spans="2:12" x14ac:dyDescent="0.2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spans="2:12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2:12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spans="2:12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spans="2:12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spans="2:12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spans="2:12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spans="2:12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spans="2:12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spans="2:12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spans="2:12" x14ac:dyDescent="0.2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spans="2:12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spans="2:12" x14ac:dyDescent="0.25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spans="2:12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spans="2:12" x14ac:dyDescent="0.25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spans="2:12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spans="2:12" x14ac:dyDescent="0.25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spans="2:12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spans="2:12" x14ac:dyDescent="0.25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spans="2:12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spans="2:12" x14ac:dyDescent="0.2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spans="2:12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spans="2:12" x14ac:dyDescent="0.25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spans="2:12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spans="2:12" x14ac:dyDescent="0.25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spans="2:12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spans="2:12" x14ac:dyDescent="0.25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spans="2:12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spans="2:12" x14ac:dyDescent="0.25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spans="2:12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spans="2:12" x14ac:dyDescent="0.2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spans="2:12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spans="2:12" x14ac:dyDescent="0.25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spans="2:12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spans="2:12" x14ac:dyDescent="0.25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spans="2:12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spans="2:12" x14ac:dyDescent="0.25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spans="2:12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spans="2:12" x14ac:dyDescent="0.25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spans="2:12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spans="2:12" x14ac:dyDescent="0.2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spans="2:12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spans="2:12" x14ac:dyDescent="0.25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spans="2:12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spans="2:12" x14ac:dyDescent="0.25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spans="2:12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spans="2:12" x14ac:dyDescent="0.2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spans="2:12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spans="2:12" x14ac:dyDescent="0.25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spans="2:12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spans="2:12" x14ac:dyDescent="0.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spans="2:12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spans="2:12" x14ac:dyDescent="0.25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spans="2:12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spans="2:12" x14ac:dyDescent="0.25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spans="2:12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spans="2:12" x14ac:dyDescent="0.25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spans="2:12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spans="2:12" x14ac:dyDescent="0.25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spans="2:12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spans="2:12" x14ac:dyDescent="0.2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spans="2:12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spans="2:12" x14ac:dyDescent="0.25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spans="2:12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spans="2:12" x14ac:dyDescent="0.25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spans="2:12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spans="2:12" x14ac:dyDescent="0.25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spans="2:12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spans="2:12" x14ac:dyDescent="0.25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spans="2:12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spans="2:12" x14ac:dyDescent="0.2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spans="2:12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spans="2:12" x14ac:dyDescent="0.25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spans="2:12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spans="2:12" x14ac:dyDescent="0.25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spans="2:12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spans="2:12" x14ac:dyDescent="0.25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spans="2:12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spans="2:12" x14ac:dyDescent="0.25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spans="2:12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spans="2:12" x14ac:dyDescent="0.2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spans="2:12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spans="2:12" x14ac:dyDescent="0.25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spans="2:12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spans="2:12" x14ac:dyDescent="0.25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spans="2:12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spans="2:12" x14ac:dyDescent="0.25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spans="2:12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spans="2:12" x14ac:dyDescent="0.25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spans="2:12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spans="2:12" x14ac:dyDescent="0.2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spans="2:12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2:12" x14ac:dyDescent="0.25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2:12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spans="2:12" x14ac:dyDescent="0.25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spans="2:12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2:12" x14ac:dyDescent="0.25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spans="2:12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2:12" x14ac:dyDescent="0.25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spans="2:12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2:12" x14ac:dyDescent="0.2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spans="2:12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spans="2:12" x14ac:dyDescent="0.2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spans="2:12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spans="2:12" x14ac:dyDescent="0.2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spans="2:12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spans="2:12" x14ac:dyDescent="0.25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spans="2:12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spans="2:12" x14ac:dyDescent="0.25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spans="2:12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spans="2:12" x14ac:dyDescent="0.2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spans="2:12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spans="2:12" x14ac:dyDescent="0.25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spans="2:12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spans="2:12" x14ac:dyDescent="0.25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spans="2:12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spans="2:12" x14ac:dyDescent="0.25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spans="2:12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spans="2:12" x14ac:dyDescent="0.25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spans="2:12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2:12" x14ac:dyDescent="0.2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spans="2:12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spans="2:12" x14ac:dyDescent="0.25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spans="2:12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spans="2:12" x14ac:dyDescent="0.25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spans="2:12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spans="2:12" x14ac:dyDescent="0.25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spans="2:12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spans="2:12" x14ac:dyDescent="0.25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spans="2:12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2:12" x14ac:dyDescent="0.2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spans="2:12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spans="2:12" x14ac:dyDescent="0.25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spans="2:12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spans="2:12" x14ac:dyDescent="0.25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spans="2:12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spans="2:12" x14ac:dyDescent="0.25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spans="2:12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spans="2:12" x14ac:dyDescent="0.25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spans="2:12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spans="2:12" x14ac:dyDescent="0.2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spans="2:12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2:12" x14ac:dyDescent="0.25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spans="2:12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spans="2:12" x14ac:dyDescent="0.25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spans="2:12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spans="2:12" x14ac:dyDescent="0.25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spans="2:12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spans="2:12" x14ac:dyDescent="0.25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spans="2:12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spans="2:12" x14ac:dyDescent="0.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spans="2:12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spans="2:12" x14ac:dyDescent="0.25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spans="2:12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spans="2:12" x14ac:dyDescent="0.25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spans="2:12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spans="2:12" x14ac:dyDescent="0.25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spans="2:12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spans="2:12" x14ac:dyDescent="0.25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spans="2:12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spans="2:12" x14ac:dyDescent="0.2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spans="2:12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spans="2:12" x14ac:dyDescent="0.25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spans="2:12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spans="2:12" x14ac:dyDescent="0.25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spans="2:12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spans="2:12" x14ac:dyDescent="0.25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spans="2:12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spans="2:12" x14ac:dyDescent="0.25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spans="2:12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spans="2:12" x14ac:dyDescent="0.2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spans="2:12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spans="2:12" x14ac:dyDescent="0.25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spans="2:12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spans="2:12" x14ac:dyDescent="0.25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spans="2:12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spans="2:12" x14ac:dyDescent="0.25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spans="2:12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spans="2:12" x14ac:dyDescent="0.25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spans="2:12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spans="2:12" x14ac:dyDescent="0.2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spans="2:12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spans="2:12" x14ac:dyDescent="0.25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spans="2:12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spans="2:12" x14ac:dyDescent="0.25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spans="2:12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spans="2:12" x14ac:dyDescent="0.25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spans="2:12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spans="2:12" x14ac:dyDescent="0.25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spans="2:12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spans="2:12" x14ac:dyDescent="0.2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spans="2:12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spans="2:12" x14ac:dyDescent="0.25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spans="2:12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spans="2:12" x14ac:dyDescent="0.25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spans="2:12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spans="2:12" x14ac:dyDescent="0.25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spans="2:12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spans="2:12" x14ac:dyDescent="0.25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spans="2:12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spans="2:12" x14ac:dyDescent="0.2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spans="2:12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spans="2:12" x14ac:dyDescent="0.25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spans="2:12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spans="2:12" x14ac:dyDescent="0.25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spans="2:12" x14ac:dyDescent="0.25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spans="2:12" x14ac:dyDescent="0.25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spans="2:12" x14ac:dyDescent="0.25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spans="2:12" x14ac:dyDescent="0.25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spans="2:12" x14ac:dyDescent="0.25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2:12" x14ac:dyDescent="0.2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2:12" x14ac:dyDescent="0.25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2:12" x14ac:dyDescent="0.25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spans="2:12" x14ac:dyDescent="0.25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2:12" x14ac:dyDescent="0.25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2:12" x14ac:dyDescent="0.25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2:12" x14ac:dyDescent="0.25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spans="2:12" x14ac:dyDescent="0.25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2:12" x14ac:dyDescent="0.25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2:12" x14ac:dyDescent="0.25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2:12" x14ac:dyDescent="0.2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spans="2:12" x14ac:dyDescent="0.25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2:12" x14ac:dyDescent="0.25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spans="2:12" x14ac:dyDescent="0.25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2:12" x14ac:dyDescent="0.25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spans="2:12" x14ac:dyDescent="0.25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2:12" x14ac:dyDescent="0.25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spans="2:12" x14ac:dyDescent="0.25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2:12" x14ac:dyDescent="0.25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spans="2:12" x14ac:dyDescent="0.25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2:12" x14ac:dyDescent="0.25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2:12" x14ac:dyDescent="0.25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2:12" x14ac:dyDescent="0.25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2:12" x14ac:dyDescent="0.25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2:12" x14ac:dyDescent="0.25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2:12" x14ac:dyDescent="0.25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2:12" x14ac:dyDescent="0.25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2:12" x14ac:dyDescent="0.25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2:12" x14ac:dyDescent="0.25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spans="2:12" x14ac:dyDescent="0.25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2:12" x14ac:dyDescent="0.25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spans="2:12" x14ac:dyDescent="0.25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2:12" x14ac:dyDescent="0.25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spans="2:12" x14ac:dyDescent="0.25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2:12" x14ac:dyDescent="0.25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spans="2:12" x14ac:dyDescent="0.25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2:12" x14ac:dyDescent="0.25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spans="2:12" x14ac:dyDescent="0.25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2:12" x14ac:dyDescent="0.25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spans="2:12" x14ac:dyDescent="0.25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2:12" x14ac:dyDescent="0.25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spans="2:12" x14ac:dyDescent="0.25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2:12" x14ac:dyDescent="0.25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spans="2:12" x14ac:dyDescent="0.25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2:12" x14ac:dyDescent="0.25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spans="2:12" x14ac:dyDescent="0.25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2:12" x14ac:dyDescent="0.25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spans="2:12" x14ac:dyDescent="0.25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2:12" x14ac:dyDescent="0.25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spans="2:12" x14ac:dyDescent="0.25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2:12" x14ac:dyDescent="0.25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spans="2:12" x14ac:dyDescent="0.25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2:12" x14ac:dyDescent="0.25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spans="2:12" x14ac:dyDescent="0.25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2:12" x14ac:dyDescent="0.25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spans="2:12" x14ac:dyDescent="0.25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2:12" x14ac:dyDescent="0.25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spans="2:12" x14ac:dyDescent="0.25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2:12" x14ac:dyDescent="0.25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spans="2:12" x14ac:dyDescent="0.25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2:12" x14ac:dyDescent="0.25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spans="2:12" x14ac:dyDescent="0.25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2:12" x14ac:dyDescent="0.25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spans="2:12" x14ac:dyDescent="0.25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2:12" x14ac:dyDescent="0.25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spans="2:12" x14ac:dyDescent="0.25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2:12" x14ac:dyDescent="0.25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spans="2:12" x14ac:dyDescent="0.25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2:12" x14ac:dyDescent="0.25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spans="2:12" x14ac:dyDescent="0.25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2:12" x14ac:dyDescent="0.25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spans="2:12" x14ac:dyDescent="0.25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2:12" x14ac:dyDescent="0.25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spans="2:12" x14ac:dyDescent="0.25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2:12" x14ac:dyDescent="0.25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spans="2:12" x14ac:dyDescent="0.25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2:12" x14ac:dyDescent="0.25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spans="2:12" x14ac:dyDescent="0.25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2:12" x14ac:dyDescent="0.25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spans="2:12" x14ac:dyDescent="0.25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2:12" x14ac:dyDescent="0.25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spans="2:12" x14ac:dyDescent="0.25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2:12" x14ac:dyDescent="0.25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spans="2:12" x14ac:dyDescent="0.25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spans="2:12" x14ac:dyDescent="0.25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spans="2:12" x14ac:dyDescent="0.25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spans="2:12" x14ac:dyDescent="0.25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</sheetData>
  <mergeCells count="2">
    <mergeCell ref="B1:G1"/>
    <mergeCell ref="H1:L1"/>
  </mergeCells>
  <pageMargins left="0.17" right="0.16" top="0.47" bottom="0.36" header="0.3" footer="0.3"/>
  <pageSetup scale="97" fitToHeight="0" orientation="landscape" r:id="rId1"/>
  <rowBreaks count="2" manualBreakCount="2">
    <brk id="49" max="16383" man="1"/>
    <brk id="71" max="11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631"/>
  <sheetViews>
    <sheetView zoomScaleNormal="100" workbookViewId="0">
      <pane xSplit="1" ySplit="2" topLeftCell="B102" activePane="bottomRight" state="frozen"/>
      <selection pane="topRight" activeCell="B1" sqref="B1"/>
      <selection pane="bottomLeft" activeCell="A3" sqref="A3"/>
      <selection pane="bottomRight" activeCell="E115" sqref="E115"/>
    </sheetView>
  </sheetViews>
  <sheetFormatPr defaultRowHeight="15" x14ac:dyDescent="0.25"/>
  <cols>
    <col min="1" max="1" width="39.7109375" customWidth="1"/>
    <col min="2" max="12" width="9.7109375" style="1" customWidth="1"/>
    <col min="13" max="13" width="9.7109375" customWidth="1"/>
    <col min="15" max="15" width="14.140625" bestFit="1" customWidth="1"/>
  </cols>
  <sheetData>
    <row r="1" spans="1:12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2" s="2" customFormat="1" ht="15.75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2" x14ac:dyDescent="0.25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x14ac:dyDescent="0.25">
      <c r="A4" s="8" t="s">
        <v>223</v>
      </c>
      <c r="B4" s="180">
        <f>Financials!B27</f>
        <v>1839</v>
      </c>
      <c r="C4" s="180">
        <f>Financials!C27</f>
        <v>1416</v>
      </c>
      <c r="D4" s="180">
        <f>Financials!D27</f>
        <v>2447</v>
      </c>
      <c r="E4" s="180">
        <f>Financials!E27</f>
        <v>1231</v>
      </c>
      <c r="F4" s="180">
        <f>Financials!F27</f>
        <v>1368</v>
      </c>
      <c r="G4" s="180">
        <f>Financials!G27</f>
        <v>4582</v>
      </c>
      <c r="H4" s="244"/>
      <c r="I4" s="244"/>
      <c r="J4" s="244"/>
      <c r="K4" s="244"/>
      <c r="L4" s="244"/>
    </row>
    <row r="5" spans="1:12" x14ac:dyDescent="0.25">
      <c r="A5" s="8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 x14ac:dyDescent="0.25">
      <c r="A6" t="s">
        <v>224</v>
      </c>
      <c r="B6" s="180"/>
      <c r="C6" s="180">
        <f>B9</f>
        <v>1839</v>
      </c>
      <c r="D6" s="180">
        <f t="shared" ref="D6:E6" si="0">C9</f>
        <v>1416</v>
      </c>
      <c r="E6" s="180">
        <f t="shared" si="0"/>
        <v>2447</v>
      </c>
      <c r="F6" s="180">
        <f>E9</f>
        <v>1231</v>
      </c>
      <c r="G6" s="180">
        <f>F9</f>
        <v>1368</v>
      </c>
      <c r="H6" s="244">
        <f t="shared" ref="H6:L6" si="1">G9</f>
        <v>4582</v>
      </c>
      <c r="I6" s="244">
        <f t="shared" si="1"/>
        <v>4845</v>
      </c>
      <c r="J6" s="244">
        <f t="shared" si="1"/>
        <v>3769</v>
      </c>
      <c r="K6" s="244">
        <f t="shared" si="1"/>
        <v>2727</v>
      </c>
      <c r="L6" s="244">
        <f t="shared" si="1"/>
        <v>3946</v>
      </c>
    </row>
    <row r="7" spans="1:12" x14ac:dyDescent="0.25">
      <c r="A7" t="s">
        <v>225</v>
      </c>
      <c r="B7" s="180"/>
      <c r="C7" s="180">
        <f>-C6</f>
        <v>-1839</v>
      </c>
      <c r="D7" s="180">
        <f t="shared" ref="D7:E7" si="2">-D6</f>
        <v>-1416</v>
      </c>
      <c r="E7" s="180">
        <f t="shared" si="2"/>
        <v>-2447</v>
      </c>
      <c r="F7" s="180">
        <f>-F6</f>
        <v>-1231</v>
      </c>
      <c r="G7" s="180">
        <f>-G6</f>
        <v>-1368</v>
      </c>
      <c r="H7" s="244">
        <f>-H6</f>
        <v>-4582</v>
      </c>
      <c r="I7" s="244">
        <f t="shared" ref="I7:L7" si="3">-I6</f>
        <v>-4845</v>
      </c>
      <c r="J7" s="244">
        <f t="shared" si="3"/>
        <v>-3769</v>
      </c>
      <c r="K7" s="244">
        <f t="shared" si="3"/>
        <v>-2727</v>
      </c>
      <c r="L7" s="244">
        <f t="shared" si="3"/>
        <v>-3946</v>
      </c>
    </row>
    <row r="8" spans="1:12" x14ac:dyDescent="0.25">
      <c r="A8" t="s">
        <v>226</v>
      </c>
      <c r="B8" s="181"/>
      <c r="C8" s="181">
        <f>C4</f>
        <v>1416</v>
      </c>
      <c r="D8" s="181">
        <f t="shared" ref="D8:E8" si="4">D4</f>
        <v>2447</v>
      </c>
      <c r="E8" s="181">
        <f t="shared" si="4"/>
        <v>1231</v>
      </c>
      <c r="F8" s="181">
        <f>F4</f>
        <v>1368</v>
      </c>
      <c r="G8" s="181">
        <f>G4</f>
        <v>4582</v>
      </c>
      <c r="H8" s="170">
        <f>-I24</f>
        <v>4845</v>
      </c>
      <c r="I8" s="170">
        <f t="shared" ref="I8:L8" si="5">-J24</f>
        <v>3769</v>
      </c>
      <c r="J8" s="170">
        <f t="shared" si="5"/>
        <v>2727</v>
      </c>
      <c r="K8" s="170">
        <f t="shared" si="5"/>
        <v>3946</v>
      </c>
      <c r="L8" s="170">
        <f t="shared" si="5"/>
        <v>3946</v>
      </c>
    </row>
    <row r="9" spans="1:12" x14ac:dyDescent="0.25">
      <c r="A9" t="s">
        <v>227</v>
      </c>
      <c r="B9" s="182">
        <f>B4</f>
        <v>1839</v>
      </c>
      <c r="C9" s="182">
        <f>SUM(C6:C8)</f>
        <v>1416</v>
      </c>
      <c r="D9" s="182">
        <f t="shared" ref="D9:E9" si="6">SUM(D6:D8)</f>
        <v>2447</v>
      </c>
      <c r="E9" s="182">
        <f t="shared" si="6"/>
        <v>1231</v>
      </c>
      <c r="F9" s="182">
        <f>SUM(F6:F8)</f>
        <v>1368</v>
      </c>
      <c r="G9" s="182">
        <f>SUM(G6:G8)</f>
        <v>4582</v>
      </c>
      <c r="H9" s="284">
        <f t="shared" ref="H9:L9" si="7">SUM(H6:H8)</f>
        <v>4845</v>
      </c>
      <c r="I9" s="284">
        <f t="shared" si="7"/>
        <v>3769</v>
      </c>
      <c r="J9" s="284">
        <f t="shared" si="7"/>
        <v>2727</v>
      </c>
      <c r="K9" s="284">
        <f t="shared" si="7"/>
        <v>3946</v>
      </c>
      <c r="L9" s="284">
        <f t="shared" si="7"/>
        <v>3946</v>
      </c>
    </row>
    <row r="10" spans="1:12" x14ac:dyDescent="0.25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x14ac:dyDescent="0.25">
      <c r="A12" s="8" t="s">
        <v>228</v>
      </c>
      <c r="B12" s="180">
        <f>Financials!B32</f>
        <v>28670</v>
      </c>
      <c r="C12" s="180">
        <f>Financials!C32</f>
        <v>35822</v>
      </c>
      <c r="D12" s="180">
        <f>Financials!D32</f>
        <v>36604</v>
      </c>
      <c r="E12" s="180">
        <f>Financials!E32</f>
        <v>41962</v>
      </c>
      <c r="F12" s="180">
        <f>Financials!F32</f>
        <v>42743</v>
      </c>
      <c r="G12" s="180">
        <f>Financials!G32</f>
        <v>48485</v>
      </c>
      <c r="H12" s="12"/>
      <c r="I12" s="12"/>
      <c r="J12" s="12"/>
      <c r="K12" s="12"/>
      <c r="L12" s="12"/>
    </row>
    <row r="13" spans="1:12" x14ac:dyDescent="0.25">
      <c r="A13" s="8"/>
      <c r="B13" s="14"/>
      <c r="C13" s="14"/>
      <c r="D13" s="14"/>
      <c r="E13" s="14"/>
      <c r="F13" s="14"/>
      <c r="G13" s="14"/>
      <c r="H13" s="12"/>
      <c r="I13" s="12"/>
      <c r="J13" s="12"/>
      <c r="K13" s="12"/>
      <c r="L13" s="12"/>
    </row>
    <row r="14" spans="1:12" x14ac:dyDescent="0.25">
      <c r="A14" t="s">
        <v>224</v>
      </c>
      <c r="B14" s="183"/>
      <c r="C14" s="183">
        <f>B21</f>
        <v>28670</v>
      </c>
      <c r="D14" s="183">
        <f t="shared" ref="D14:E14" si="8">C21</f>
        <v>35822</v>
      </c>
      <c r="E14" s="183">
        <f t="shared" si="8"/>
        <v>36604</v>
      </c>
      <c r="F14" s="183">
        <f>E21</f>
        <v>41962</v>
      </c>
      <c r="G14" s="183">
        <f t="shared" ref="G14:L14" si="9">F21</f>
        <v>42743</v>
      </c>
      <c r="H14" s="251">
        <f t="shared" si="9"/>
        <v>48485</v>
      </c>
      <c r="I14" s="251">
        <f t="shared" si="9"/>
        <v>43640</v>
      </c>
      <c r="J14" s="251">
        <f t="shared" si="9"/>
        <v>39871</v>
      </c>
      <c r="K14" s="251">
        <f t="shared" si="9"/>
        <v>37144</v>
      </c>
      <c r="L14" s="251">
        <f t="shared" si="9"/>
        <v>33198</v>
      </c>
    </row>
    <row r="15" spans="1:12" x14ac:dyDescent="0.25">
      <c r="A15" t="s">
        <v>225</v>
      </c>
      <c r="B15" s="183"/>
      <c r="C15" s="183">
        <f t="shared" ref="C15:E15" si="10">C25</f>
        <v>-1033</v>
      </c>
      <c r="D15" s="183">
        <f t="shared" si="10"/>
        <v>-116</v>
      </c>
      <c r="E15" s="183">
        <f t="shared" si="10"/>
        <v>-44</v>
      </c>
      <c r="F15" s="183">
        <f>F25</f>
        <v>-40</v>
      </c>
      <c r="G15" s="183">
        <f>G25</f>
        <v>-168</v>
      </c>
      <c r="H15" s="12"/>
      <c r="I15" s="12"/>
      <c r="J15" s="12"/>
      <c r="K15" s="12"/>
      <c r="L15" s="12"/>
    </row>
    <row r="16" spans="1:12" x14ac:dyDescent="0.25">
      <c r="A16" t="s">
        <v>229</v>
      </c>
      <c r="B16" s="183"/>
      <c r="C16" s="183">
        <f>-C8</f>
        <v>-1416</v>
      </c>
      <c r="D16" s="183">
        <f t="shared" ref="D16:E16" si="11">-D8</f>
        <v>-2447</v>
      </c>
      <c r="E16" s="183">
        <f t="shared" si="11"/>
        <v>-1231</v>
      </c>
      <c r="F16" s="183">
        <f>-F8</f>
        <v>-1368</v>
      </c>
      <c r="G16" s="183">
        <f t="shared" ref="G16" si="12">-G8</f>
        <v>-4582</v>
      </c>
      <c r="H16" s="251">
        <f>-H8</f>
        <v>-4845</v>
      </c>
      <c r="I16" s="251">
        <f t="shared" ref="I16:L16" si="13">-I8</f>
        <v>-3769</v>
      </c>
      <c r="J16" s="251">
        <f t="shared" si="13"/>
        <v>-2727</v>
      </c>
      <c r="K16" s="251">
        <f t="shared" si="13"/>
        <v>-3946</v>
      </c>
      <c r="L16" s="251">
        <f t="shared" si="13"/>
        <v>-3946</v>
      </c>
    </row>
    <row r="17" spans="1:15" x14ac:dyDescent="0.25">
      <c r="A17" t="s">
        <v>230</v>
      </c>
      <c r="B17" s="183"/>
      <c r="C17" s="183">
        <f>Financials!C120</f>
        <v>7933</v>
      </c>
      <c r="D17" s="183">
        <f>Financials!D120</f>
        <v>2979</v>
      </c>
      <c r="E17" s="183">
        <f>Financials!E120</f>
        <v>6942</v>
      </c>
      <c r="F17" s="183">
        <f>Financials!F120</f>
        <v>1995</v>
      </c>
      <c r="G17" s="183">
        <f>Financials!G120</f>
        <v>10010</v>
      </c>
      <c r="H17" s="12"/>
      <c r="I17" s="12"/>
      <c r="J17" s="12"/>
      <c r="K17" s="12"/>
      <c r="L17" s="12"/>
    </row>
    <row r="18" spans="1:15" x14ac:dyDescent="0.25">
      <c r="A18" t="s">
        <v>231</v>
      </c>
      <c r="B18" s="183"/>
      <c r="C18" s="183"/>
      <c r="D18" s="183"/>
      <c r="E18" s="183"/>
      <c r="F18" s="183"/>
      <c r="G18" s="183"/>
      <c r="H18" s="12"/>
      <c r="I18" s="12"/>
      <c r="J18" s="12"/>
      <c r="K18" s="12"/>
      <c r="L18" s="12"/>
    </row>
    <row r="19" spans="1:15" x14ac:dyDescent="0.25">
      <c r="A19" t="s">
        <v>232</v>
      </c>
      <c r="B19" s="183"/>
      <c r="C19" s="183">
        <f>'Long Term Asset &amp; Liab'!C21</f>
        <v>1730</v>
      </c>
      <c r="D19" s="183">
        <f>'Long Term Asset &amp; Liab'!D21</f>
        <v>672</v>
      </c>
      <c r="E19" s="183">
        <f>'Long Term Asset &amp; Liab'!E21</f>
        <v>322</v>
      </c>
      <c r="F19" s="183">
        <f>'Long Term Asset &amp; Liab'!F21</f>
        <v>336</v>
      </c>
      <c r="G19" s="183">
        <f>'Long Term Asset &amp; Liab'!G21</f>
        <v>153</v>
      </c>
      <c r="H19" s="12"/>
      <c r="I19" s="12"/>
      <c r="J19" s="12"/>
      <c r="K19" s="12"/>
      <c r="L19" s="12"/>
    </row>
    <row r="20" spans="1:15" x14ac:dyDescent="0.25">
      <c r="A20" t="s">
        <v>233</v>
      </c>
      <c r="B20" s="189"/>
      <c r="C20" s="189">
        <v>-62</v>
      </c>
      <c r="D20" s="189">
        <v>-306</v>
      </c>
      <c r="E20" s="189">
        <v>-631</v>
      </c>
      <c r="F20" s="189">
        <v>-142</v>
      </c>
      <c r="G20" s="189">
        <v>329</v>
      </c>
      <c r="H20" s="32"/>
      <c r="I20" s="32"/>
      <c r="J20" s="32"/>
      <c r="K20" s="32"/>
      <c r="L20" s="32"/>
    </row>
    <row r="21" spans="1:15" x14ac:dyDescent="0.25">
      <c r="A21" t="s">
        <v>227</v>
      </c>
      <c r="B21" s="197">
        <f>B12</f>
        <v>28670</v>
      </c>
      <c r="C21" s="197">
        <f t="shared" ref="C21:E21" si="14">SUM(C14:C20)</f>
        <v>35822</v>
      </c>
      <c r="D21" s="197">
        <f t="shared" si="14"/>
        <v>36604</v>
      </c>
      <c r="E21" s="197">
        <f t="shared" si="14"/>
        <v>41962</v>
      </c>
      <c r="F21" s="197">
        <f>SUM(F14:F20)</f>
        <v>42743</v>
      </c>
      <c r="G21" s="197">
        <f>SUM(G14:G20)</f>
        <v>48485</v>
      </c>
      <c r="H21" s="197">
        <f t="shared" ref="H21:L21" si="15">SUM(H14:H20)</f>
        <v>43640</v>
      </c>
      <c r="I21" s="197">
        <f t="shared" si="15"/>
        <v>39871</v>
      </c>
      <c r="J21" s="197">
        <f t="shared" si="15"/>
        <v>37144</v>
      </c>
      <c r="K21" s="197">
        <f t="shared" si="15"/>
        <v>33198</v>
      </c>
      <c r="L21" s="197">
        <f t="shared" si="15"/>
        <v>29252</v>
      </c>
    </row>
    <row r="22" spans="1:15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5" ht="15.75" thickBot="1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  <row r="24" spans="1:15" x14ac:dyDescent="0.25">
      <c r="A24" s="38" t="s">
        <v>234</v>
      </c>
      <c r="B24" s="39"/>
      <c r="C24" s="188">
        <f>C7</f>
        <v>-1839</v>
      </c>
      <c r="D24" s="188">
        <f t="shared" ref="D24:E24" si="16">D7</f>
        <v>-1416</v>
      </c>
      <c r="E24" s="188">
        <f t="shared" si="16"/>
        <v>-2447</v>
      </c>
      <c r="F24" s="188">
        <f>F7</f>
        <v>-1231</v>
      </c>
      <c r="G24" s="188">
        <f>G7</f>
        <v>-1368</v>
      </c>
      <c r="H24" s="39">
        <v>-4582</v>
      </c>
      <c r="I24" s="39">
        <f>-4608-237</f>
        <v>-4845</v>
      </c>
      <c r="J24" s="39">
        <f>-3559-210</f>
        <v>-3769</v>
      </c>
      <c r="K24" s="39">
        <f>-2554-173</f>
        <v>-2727</v>
      </c>
      <c r="L24" s="39">
        <f>-3799-147</f>
        <v>-3946</v>
      </c>
      <c r="M24" s="45">
        <f>L24</f>
        <v>-3946</v>
      </c>
    </row>
    <row r="25" spans="1:15" x14ac:dyDescent="0.25">
      <c r="A25" s="35" t="s">
        <v>235</v>
      </c>
      <c r="B25" s="32"/>
      <c r="C25" s="189">
        <f>C26-C24</f>
        <v>-1033</v>
      </c>
      <c r="D25" s="189">
        <f t="shared" ref="D25:E25" si="17">D26-D24</f>
        <v>-116</v>
      </c>
      <c r="E25" s="189">
        <f t="shared" si="17"/>
        <v>-44</v>
      </c>
      <c r="F25" s="189">
        <f>F26-F24</f>
        <v>-40</v>
      </c>
      <c r="G25" s="189">
        <f>G26-G24</f>
        <v>-168</v>
      </c>
      <c r="H25" s="32"/>
      <c r="I25" s="32"/>
      <c r="J25" s="32"/>
      <c r="K25" s="32"/>
      <c r="L25" s="32"/>
      <c r="M25" s="242"/>
    </row>
    <row r="26" spans="1:15" ht="15.75" thickBot="1" x14ac:dyDescent="0.3">
      <c r="A26" s="36" t="s">
        <v>236</v>
      </c>
      <c r="B26" s="40"/>
      <c r="C26" s="184">
        <f>Financials!C121</f>
        <v>-2872</v>
      </c>
      <c r="D26" s="184">
        <f>Financials!D121</f>
        <v>-1532</v>
      </c>
      <c r="E26" s="184">
        <f>Financials!E121</f>
        <v>-2491</v>
      </c>
      <c r="F26" s="184">
        <f>Financials!F121</f>
        <v>-1271</v>
      </c>
      <c r="G26" s="184">
        <f>Financials!G121</f>
        <v>-1536</v>
      </c>
      <c r="H26" s="40">
        <f>H24+H25</f>
        <v>-4582</v>
      </c>
      <c r="I26" s="40">
        <f t="shared" ref="I26:L26" si="18">I24+I25</f>
        <v>-4845</v>
      </c>
      <c r="J26" s="40">
        <f t="shared" si="18"/>
        <v>-3769</v>
      </c>
      <c r="K26" s="40">
        <f t="shared" si="18"/>
        <v>-2727</v>
      </c>
      <c r="L26" s="40">
        <f t="shared" si="18"/>
        <v>-3946</v>
      </c>
      <c r="M26" s="243"/>
    </row>
    <row r="27" spans="1:15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5" ht="15.75" thickBot="1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5" x14ac:dyDescent="0.25">
      <c r="A29" s="76" t="s">
        <v>237</v>
      </c>
      <c r="B29" s="39"/>
      <c r="C29" s="188">
        <f>Financials!C71</f>
        <v>1347</v>
      </c>
      <c r="D29" s="188">
        <f>Financials!D71</f>
        <v>1347</v>
      </c>
      <c r="E29" s="188">
        <f>Financials!E71</f>
        <v>1617</v>
      </c>
      <c r="F29" s="188">
        <f>Financials!F71</f>
        <v>1943</v>
      </c>
      <c r="G29" s="188">
        <f>Financials!G71</f>
        <v>2321</v>
      </c>
      <c r="H29" s="267">
        <f>(G9+G21)*H31</f>
        <v>2191.6671000000001</v>
      </c>
      <c r="I29" s="267">
        <f>(H9+H21)*I31</f>
        <v>2002.4305000000002</v>
      </c>
      <c r="J29" s="267">
        <f t="shared" ref="J29:L29" si="19">(I9+I21)*J31</f>
        <v>1802.3320000000001</v>
      </c>
      <c r="K29" s="267">
        <f t="shared" si="19"/>
        <v>1646.6723000000002</v>
      </c>
      <c r="L29" s="267">
        <f t="shared" si="19"/>
        <v>1534.0472000000002</v>
      </c>
      <c r="O29" s="57"/>
    </row>
    <row r="30" spans="1:15" x14ac:dyDescent="0.25">
      <c r="A30" s="3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50"/>
      <c r="O30" s="57"/>
    </row>
    <row r="31" spans="1:15" x14ac:dyDescent="0.25">
      <c r="A31" s="35" t="s">
        <v>238</v>
      </c>
      <c r="B31" s="48"/>
      <c r="C31" s="186">
        <f>C29/((B9+C9+B21+C21)/2)</f>
        <v>3.9765598476685315E-2</v>
      </c>
      <c r="D31" s="186">
        <f t="shared" ref="D31:G31" si="20">D29/((C9+D9+C21+D21)/2)</f>
        <v>3.531308576596888E-2</v>
      </c>
      <c r="E31" s="186">
        <f t="shared" si="20"/>
        <v>3.9322017411604494E-2</v>
      </c>
      <c r="F31" s="186">
        <f t="shared" si="20"/>
        <v>4.4511133510492074E-2</v>
      </c>
      <c r="G31" s="186">
        <f t="shared" si="20"/>
        <v>4.7768013336351847E-2</v>
      </c>
      <c r="H31" s="48">
        <v>4.1300000000000003E-2</v>
      </c>
      <c r="I31" s="48">
        <v>4.1300000000000003E-2</v>
      </c>
      <c r="J31" s="48">
        <v>4.1300000000000003E-2</v>
      </c>
      <c r="K31" s="48">
        <v>4.1300000000000003E-2</v>
      </c>
      <c r="L31" s="48">
        <v>4.1300000000000003E-2</v>
      </c>
      <c r="N31" s="48"/>
      <c r="O31" s="58"/>
    </row>
    <row r="32" spans="1:15" ht="15.75" thickBot="1" x14ac:dyDescent="0.3">
      <c r="A32" s="36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52"/>
      <c r="O32" s="57"/>
    </row>
    <row r="33" spans="1:16" x14ac:dyDescent="0.25">
      <c r="B33" s="61"/>
      <c r="C33" s="61"/>
      <c r="D33" s="61"/>
      <c r="E33" s="61"/>
      <c r="F33" s="61"/>
      <c r="G33" s="61"/>
      <c r="H33" s="12"/>
      <c r="I33" s="12"/>
      <c r="J33" s="12"/>
      <c r="K33" s="12"/>
      <c r="L33" s="12"/>
      <c r="O33" s="57"/>
    </row>
    <row r="34" spans="1:16" x14ac:dyDescent="0.25">
      <c r="B34" s="61"/>
      <c r="C34" s="61"/>
      <c r="D34" s="61"/>
      <c r="E34" s="61"/>
      <c r="F34" s="61"/>
      <c r="G34" s="61"/>
      <c r="H34" s="12"/>
      <c r="I34" s="12"/>
      <c r="J34" s="12"/>
      <c r="K34" s="12"/>
      <c r="L34" s="12"/>
      <c r="O34" s="57"/>
    </row>
    <row r="35" spans="1:16" x14ac:dyDescent="0.25">
      <c r="B35" s="133"/>
      <c r="C35" s="61"/>
      <c r="D35" s="61"/>
      <c r="E35" s="61"/>
      <c r="F35" s="61"/>
      <c r="G35" s="61"/>
      <c r="H35" s="12"/>
      <c r="I35" s="12"/>
      <c r="J35" s="12"/>
      <c r="K35" s="12"/>
      <c r="L35" s="12"/>
      <c r="O35" s="57"/>
    </row>
    <row r="36" spans="1:16" x14ac:dyDescent="0.25">
      <c r="B36" s="61"/>
      <c r="C36" s="61"/>
      <c r="E36" s="61"/>
      <c r="F36" s="61"/>
      <c r="G36" s="61"/>
      <c r="H36" s="12"/>
      <c r="I36" s="12"/>
      <c r="J36" s="12"/>
      <c r="K36" s="12"/>
      <c r="L36" s="12"/>
      <c r="O36" s="57"/>
    </row>
    <row r="37" spans="1:16" x14ac:dyDescent="0.25">
      <c r="B37" s="61"/>
      <c r="C37" s="61"/>
      <c r="D37" s="61"/>
      <c r="E37" s="61"/>
      <c r="F37" s="61"/>
      <c r="G37" s="61"/>
      <c r="H37" s="12"/>
      <c r="I37" s="12"/>
      <c r="J37" s="12"/>
      <c r="K37" s="12"/>
      <c r="L37" s="12"/>
      <c r="O37" s="57"/>
    </row>
    <row r="38" spans="1:16" x14ac:dyDescent="0.25">
      <c r="B38" s="61"/>
      <c r="C38" s="61"/>
      <c r="D38" s="61"/>
      <c r="E38" s="61"/>
      <c r="F38" s="61"/>
      <c r="G38" s="61"/>
      <c r="H38" s="12"/>
      <c r="I38" s="12"/>
      <c r="J38" s="12"/>
      <c r="K38" s="12"/>
      <c r="L38" s="12"/>
      <c r="O38" s="57"/>
    </row>
    <row r="39" spans="1:16" x14ac:dyDescent="0.25">
      <c r="B39" s="61"/>
      <c r="C39" s="61"/>
      <c r="D39" s="61"/>
      <c r="E39" s="61"/>
      <c r="F39" s="61"/>
      <c r="G39" s="61"/>
      <c r="H39" s="12"/>
      <c r="I39" s="12"/>
      <c r="J39" s="12"/>
      <c r="K39" s="12"/>
      <c r="L39" s="12"/>
      <c r="O39" s="57"/>
    </row>
    <row r="40" spans="1:16" x14ac:dyDescent="0.25">
      <c r="B40" s="61"/>
      <c r="C40" s="61"/>
      <c r="D40" s="61"/>
      <c r="E40" s="61"/>
      <c r="F40" s="61"/>
      <c r="G40" s="61"/>
      <c r="H40" s="12"/>
      <c r="I40" s="12"/>
      <c r="J40" s="12"/>
      <c r="K40" s="12"/>
      <c r="L40" s="12"/>
      <c r="O40" s="57"/>
    </row>
    <row r="41" spans="1:16" x14ac:dyDescent="0.25">
      <c r="B41" s="61"/>
      <c r="C41" s="61"/>
      <c r="D41" s="61"/>
      <c r="E41" s="61"/>
      <c r="F41" s="61"/>
      <c r="G41" s="61"/>
      <c r="H41" s="12"/>
      <c r="I41" s="12"/>
      <c r="J41" s="12"/>
      <c r="K41" s="12"/>
      <c r="L41" s="12"/>
      <c r="O41" s="57"/>
    </row>
    <row r="42" spans="1:16" x14ac:dyDescent="0.25">
      <c r="B42" s="61"/>
      <c r="C42" s="61"/>
      <c r="D42" s="61"/>
      <c r="E42" s="61"/>
      <c r="F42" s="61"/>
      <c r="G42" s="61"/>
      <c r="H42" s="12"/>
      <c r="I42" s="12"/>
      <c r="J42" s="12"/>
      <c r="K42" s="12"/>
      <c r="L42" s="12"/>
      <c r="O42" s="57"/>
    </row>
    <row r="43" spans="1:16" x14ac:dyDescent="0.25">
      <c r="B43" s="61"/>
      <c r="C43" s="61"/>
      <c r="D43" s="61"/>
      <c r="E43" s="61"/>
      <c r="F43" s="61"/>
      <c r="G43" s="61"/>
      <c r="H43" s="12"/>
      <c r="I43" s="12"/>
      <c r="J43" s="12"/>
      <c r="K43" s="12"/>
      <c r="L43" s="12"/>
      <c r="O43" s="57"/>
    </row>
    <row r="44" spans="1:16" x14ac:dyDescent="0.25">
      <c r="B44" s="61"/>
      <c r="C44" s="61"/>
      <c r="D44" s="61"/>
      <c r="E44" s="61"/>
      <c r="F44" s="61"/>
      <c r="G44" s="61"/>
      <c r="H44" s="12"/>
      <c r="I44" s="12"/>
      <c r="J44" s="12"/>
      <c r="K44" s="12"/>
      <c r="L44" s="12"/>
      <c r="O44" s="57"/>
    </row>
    <row r="45" spans="1:16" x14ac:dyDescent="0.25">
      <c r="B45" s="61"/>
      <c r="C45"/>
      <c r="D45"/>
      <c r="E45"/>
      <c r="F45"/>
      <c r="G45"/>
      <c r="H45" s="12"/>
      <c r="I45" s="12"/>
      <c r="J45" s="12"/>
      <c r="K45" s="12"/>
      <c r="L45" s="12"/>
      <c r="O45" s="57"/>
    </row>
    <row r="46" spans="1:16" x14ac:dyDescent="0.25">
      <c r="B46" s="203"/>
      <c r="C46"/>
      <c r="D46"/>
      <c r="E46"/>
      <c r="F46"/>
      <c r="G46"/>
      <c r="H46" s="12"/>
      <c r="I46" s="12"/>
      <c r="J46" s="12"/>
      <c r="K46" s="12"/>
      <c r="L46" s="12"/>
      <c r="O46" s="57"/>
    </row>
    <row r="47" spans="1:16" x14ac:dyDescent="0.25">
      <c r="A47" s="37" t="s">
        <v>239</v>
      </c>
      <c r="B47" s="48"/>
      <c r="C47"/>
      <c r="D47"/>
      <c r="E47"/>
      <c r="F47"/>
      <c r="G47"/>
      <c r="H47" s="12"/>
      <c r="I47" s="12"/>
      <c r="J47" s="12"/>
      <c r="K47" s="12"/>
      <c r="L47" s="12"/>
      <c r="O47" s="59"/>
      <c r="P47" s="60"/>
    </row>
    <row r="48" spans="1:16" ht="9" customHeight="1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x14ac:dyDescent="0.25">
      <c r="A49" s="8" t="s">
        <v>34</v>
      </c>
      <c r="B49" s="93">
        <f>Financials!B39</f>
        <v>89</v>
      </c>
      <c r="C49" s="93">
        <f>Financials!C39</f>
        <v>89</v>
      </c>
      <c r="D49" s="93">
        <f>Financials!D39</f>
        <v>90</v>
      </c>
      <c r="E49" s="93">
        <f>Financials!E39</f>
        <v>90</v>
      </c>
      <c r="F49" s="93">
        <f>Financials!F39</f>
        <v>90</v>
      </c>
      <c r="G49" s="93">
        <f>Financials!G39</f>
        <v>90</v>
      </c>
      <c r="H49" s="95">
        <f>G49</f>
        <v>90</v>
      </c>
      <c r="I49" s="95">
        <f t="shared" ref="I49:L49" si="21">H49</f>
        <v>90</v>
      </c>
      <c r="J49" s="95">
        <f t="shared" si="21"/>
        <v>90</v>
      </c>
      <c r="K49" s="95">
        <f t="shared" si="21"/>
        <v>90</v>
      </c>
      <c r="L49" s="95">
        <f t="shared" si="21"/>
        <v>90</v>
      </c>
    </row>
    <row r="50" spans="1:12" x14ac:dyDescent="0.25">
      <c r="A50" s="8" t="s">
        <v>240</v>
      </c>
      <c r="B50" s="94">
        <f>Financials!B40</f>
        <v>11001</v>
      </c>
      <c r="C50" s="94">
        <f>Financials!C40</f>
        <v>11540</v>
      </c>
      <c r="D50" s="94">
        <f>Financials!D40</f>
        <v>12132</v>
      </c>
      <c r="E50" s="94">
        <f>Financials!E40</f>
        <v>12592</v>
      </c>
      <c r="F50" s="94">
        <f>Financials!F40</f>
        <v>13147</v>
      </c>
      <c r="G50" s="94">
        <f>Financials!G40</f>
        <v>14117</v>
      </c>
      <c r="H50" s="106">
        <f>H51-H49</f>
        <v>14811.188563886726</v>
      </c>
      <c r="I50" s="106">
        <f t="shared" ref="I50:L50" si="22">I51-I49</f>
        <v>15560.124031216743</v>
      </c>
      <c r="J50" s="106">
        <f t="shared" si="22"/>
        <v>16368.217920080675</v>
      </c>
      <c r="K50" s="106">
        <f t="shared" si="22"/>
        <v>17240.231226076325</v>
      </c>
      <c r="L50" s="106">
        <f t="shared" si="22"/>
        <v>18181.727015365959</v>
      </c>
    </row>
    <row r="51" spans="1:12" x14ac:dyDescent="0.25">
      <c r="A51" s="8" t="s">
        <v>241</v>
      </c>
      <c r="B51" s="98">
        <f>B49+B50</f>
        <v>11090</v>
      </c>
      <c r="C51" s="98">
        <f t="shared" ref="C51:D51" si="23">C49+C50</f>
        <v>11629</v>
      </c>
      <c r="D51" s="98">
        <f t="shared" si="23"/>
        <v>12222</v>
      </c>
      <c r="E51" s="98">
        <f t="shared" ref="E51:F51" si="24">E49+E50</f>
        <v>12682</v>
      </c>
      <c r="F51" s="98">
        <f t="shared" si="24"/>
        <v>13237</v>
      </c>
      <c r="G51" s="98">
        <f>G49+G50</f>
        <v>14207</v>
      </c>
      <c r="H51" s="104">
        <f>H57</f>
        <v>14901.188563886726</v>
      </c>
      <c r="I51" s="104">
        <f t="shared" ref="I51:L51" si="25">I57</f>
        <v>15650.124031216743</v>
      </c>
      <c r="J51" s="104">
        <f t="shared" si="25"/>
        <v>16458.217920080675</v>
      </c>
      <c r="K51" s="104">
        <f t="shared" si="25"/>
        <v>17330.231226076325</v>
      </c>
      <c r="L51" s="104">
        <f t="shared" si="25"/>
        <v>18271.727015365959</v>
      </c>
    </row>
    <row r="52" spans="1:12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25">
      <c r="A53" t="s">
        <v>204</v>
      </c>
      <c r="B53" s="12"/>
      <c r="C53" s="183">
        <f>B51</f>
        <v>11090</v>
      </c>
      <c r="D53" s="183">
        <f t="shared" ref="D53" si="26">C57</f>
        <v>11629</v>
      </c>
      <c r="E53" s="183">
        <f t="shared" ref="E53" si="27">D57</f>
        <v>12222</v>
      </c>
      <c r="F53" s="183">
        <f t="shared" ref="F53" si="28">E57</f>
        <v>12682</v>
      </c>
      <c r="G53" s="183">
        <f>F57</f>
        <v>13237</v>
      </c>
      <c r="H53" s="251">
        <f>G57</f>
        <v>14207</v>
      </c>
      <c r="I53" s="251">
        <f t="shared" ref="I53:L53" si="29">H57</f>
        <v>14901.188563886726</v>
      </c>
      <c r="J53" s="251">
        <f t="shared" si="29"/>
        <v>15650.124031216743</v>
      </c>
      <c r="K53" s="251">
        <f t="shared" si="29"/>
        <v>16458.217920080675</v>
      </c>
      <c r="L53" s="251">
        <f t="shared" si="29"/>
        <v>17330.231226076325</v>
      </c>
    </row>
    <row r="54" spans="1:12" x14ac:dyDescent="0.25">
      <c r="A54" t="s">
        <v>242</v>
      </c>
      <c r="B54" s="12"/>
      <c r="C54" s="185"/>
      <c r="D54" s="185"/>
      <c r="E54" s="185"/>
      <c r="F54" s="185"/>
      <c r="G54" s="185"/>
      <c r="H54" s="12"/>
      <c r="I54" s="12"/>
      <c r="J54" s="12"/>
      <c r="K54" s="12"/>
      <c r="L54" s="12"/>
    </row>
    <row r="55" spans="1:12" x14ac:dyDescent="0.25">
      <c r="A55" t="s">
        <v>243</v>
      </c>
      <c r="B55" s="12"/>
      <c r="C55" s="183">
        <v>229</v>
      </c>
      <c r="D55" s="183">
        <f>1+194</f>
        <v>195</v>
      </c>
      <c r="E55" s="183">
        <v>94</v>
      </c>
      <c r="F55" s="183">
        <v>175</v>
      </c>
      <c r="G55" s="183">
        <v>528</v>
      </c>
      <c r="H55" s="251">
        <f>H64*H56</f>
        <v>268.3321355162422</v>
      </c>
      <c r="I55" s="251">
        <f t="shared" ref="I55:L55" si="30">I64*I56</f>
        <v>289.49404206161796</v>
      </c>
      <c r="J55" s="251">
        <f t="shared" si="30"/>
        <v>312.36117991114872</v>
      </c>
      <c r="K55" s="251">
        <f t="shared" si="30"/>
        <v>337.06863634614871</v>
      </c>
      <c r="L55" s="251">
        <f t="shared" si="30"/>
        <v>363.92644428648504</v>
      </c>
    </row>
    <row r="56" spans="1:12" x14ac:dyDescent="0.25">
      <c r="A56" t="s">
        <v>244</v>
      </c>
      <c r="B56" s="12"/>
      <c r="C56" s="189">
        <v>310</v>
      </c>
      <c r="D56" s="189">
        <v>398</v>
      </c>
      <c r="E56" s="189">
        <v>366</v>
      </c>
      <c r="F56" s="189">
        <v>380</v>
      </c>
      <c r="G56" s="119">
        <v>442</v>
      </c>
      <c r="H56" s="262">
        <f>Financials!H67*H61</f>
        <v>425.85642837048442</v>
      </c>
      <c r="I56" s="262">
        <f>Financials!I67*I61</f>
        <v>459.44142526839863</v>
      </c>
      <c r="J56" s="262">
        <f>Financials!J67*J61</f>
        <v>495.73270895278324</v>
      </c>
      <c r="K56" s="262">
        <f>Financials!K67*K61</f>
        <v>534.944669649498</v>
      </c>
      <c r="L56" s="262">
        <f>Financials!L67*L61</f>
        <v>577.56934500315037</v>
      </c>
    </row>
    <row r="57" spans="1:12" ht="15.75" thickBot="1" x14ac:dyDescent="0.3">
      <c r="A57" t="s">
        <v>209</v>
      </c>
      <c r="B57" s="12"/>
      <c r="C57" s="204">
        <f>SUM(C53:C56)</f>
        <v>11629</v>
      </c>
      <c r="D57" s="204">
        <f t="shared" ref="D57:E57" si="31">SUM(D53:D56)</f>
        <v>12222</v>
      </c>
      <c r="E57" s="204">
        <f t="shared" si="31"/>
        <v>12682</v>
      </c>
      <c r="F57" s="204">
        <f>SUM(F53:F56)</f>
        <v>13237</v>
      </c>
      <c r="G57" s="285">
        <f t="shared" ref="G57:L57" si="32">SUM(G53:G56)</f>
        <v>14207</v>
      </c>
      <c r="H57" s="275">
        <f t="shared" si="32"/>
        <v>14901.188563886726</v>
      </c>
      <c r="I57" s="275">
        <f t="shared" si="32"/>
        <v>15650.124031216743</v>
      </c>
      <c r="J57" s="275">
        <f t="shared" si="32"/>
        <v>16458.217920080675</v>
      </c>
      <c r="K57" s="275">
        <f t="shared" si="32"/>
        <v>17330.231226076325</v>
      </c>
      <c r="L57" s="275">
        <f t="shared" si="32"/>
        <v>18271.727015365959</v>
      </c>
    </row>
    <row r="58" spans="1:12" ht="15.75" thickTop="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2" ht="15.75" thickBot="1" x14ac:dyDescent="0.3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2" x14ac:dyDescent="0.25">
      <c r="A60" s="63" t="s">
        <v>245</v>
      </c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45"/>
    </row>
    <row r="61" spans="1:12" x14ac:dyDescent="0.25">
      <c r="A61" s="35" t="s">
        <v>246</v>
      </c>
      <c r="B61" s="12"/>
      <c r="C61" s="186">
        <f>C56/Financials!E67</f>
        <v>1.2895711136070551E-2</v>
      </c>
      <c r="D61" s="186">
        <f>D56/Financials!F67</f>
        <v>1.8350315828300059E-2</v>
      </c>
      <c r="E61" s="186">
        <f>E56/Financials!G67</f>
        <v>1.7002694416055002E-2</v>
      </c>
      <c r="F61" s="186">
        <f>F56/Financials!H67</f>
        <v>1.5615591445797472E-2</v>
      </c>
      <c r="G61" s="186">
        <f>G56/Financials!I67</f>
        <v>1.6835660814610551E-2</v>
      </c>
      <c r="H61" s="272">
        <v>1.7500000000000002E-2</v>
      </c>
      <c r="I61" s="272">
        <v>1.7500000000000002E-2</v>
      </c>
      <c r="J61" s="272">
        <v>1.7500000000000002E-2</v>
      </c>
      <c r="K61" s="272">
        <v>1.7500000000000002E-2</v>
      </c>
      <c r="L61" s="272">
        <v>1.7500000000000002E-2</v>
      </c>
    </row>
    <row r="62" spans="1:12" x14ac:dyDescent="0.25">
      <c r="A62" s="35" t="s">
        <v>247</v>
      </c>
      <c r="B62" s="12"/>
      <c r="C62" s="183"/>
      <c r="D62" s="183"/>
      <c r="E62" s="183"/>
      <c r="F62" s="183"/>
      <c r="G62" s="186">
        <f>AVERAGE(C61:G61)</f>
        <v>1.6139994728166726E-2</v>
      </c>
      <c r="H62" s="12"/>
      <c r="I62" s="12"/>
      <c r="J62" s="12"/>
      <c r="K62" s="12"/>
      <c r="L62" s="50"/>
    </row>
    <row r="63" spans="1:12" x14ac:dyDescent="0.25">
      <c r="A63" s="35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50"/>
    </row>
    <row r="64" spans="1:12" x14ac:dyDescent="0.25">
      <c r="A64" s="35" t="s">
        <v>248</v>
      </c>
      <c r="B64" s="12"/>
      <c r="C64" s="186">
        <f>C55/C56</f>
        <v>0.73870967741935489</v>
      </c>
      <c r="D64" s="186">
        <f t="shared" ref="D64:E64" si="33">D55/D56</f>
        <v>0.4899497487437186</v>
      </c>
      <c r="E64" s="186">
        <f t="shared" si="33"/>
        <v>0.25683060109289618</v>
      </c>
      <c r="F64" s="186">
        <f>F55/F56</f>
        <v>0.46052631578947367</v>
      </c>
      <c r="G64" s="186">
        <f>G55/G56</f>
        <v>1.1945701357466063</v>
      </c>
      <c r="H64" s="272">
        <v>0.63009999999999999</v>
      </c>
      <c r="I64" s="272">
        <v>0.63009999999999999</v>
      </c>
      <c r="J64" s="272">
        <v>0.63009999999999999</v>
      </c>
      <c r="K64" s="272">
        <v>0.63009999999999999</v>
      </c>
      <c r="L64" s="272">
        <v>0.63009999999999999</v>
      </c>
    </row>
    <row r="65" spans="1:14" x14ac:dyDescent="0.25">
      <c r="A65" s="35" t="s">
        <v>247</v>
      </c>
      <c r="B65" s="12"/>
      <c r="C65" s="183"/>
      <c r="D65" s="183"/>
      <c r="E65" s="183"/>
      <c r="F65" s="183"/>
      <c r="G65" s="186">
        <f>AVERAGE(C64:G64)</f>
        <v>0.62811729575840991</v>
      </c>
      <c r="H65" s="12"/>
      <c r="I65" s="12"/>
      <c r="J65" s="12"/>
      <c r="K65" s="12"/>
      <c r="L65" s="50"/>
    </row>
    <row r="66" spans="1:14" x14ac:dyDescent="0.25">
      <c r="A66" s="35"/>
      <c r="B66" s="12"/>
      <c r="C66" s="12"/>
      <c r="D66" s="12"/>
      <c r="E66" s="12"/>
      <c r="F66" s="12"/>
      <c r="G66" s="48"/>
      <c r="H66" s="12"/>
      <c r="I66" s="12"/>
      <c r="J66" s="12"/>
      <c r="K66" s="12"/>
      <c r="L66" s="50"/>
    </row>
    <row r="67" spans="1:14" x14ac:dyDescent="0.25">
      <c r="A67" s="35"/>
      <c r="B67" s="12"/>
      <c r="C67" s="12"/>
      <c r="D67" s="12"/>
      <c r="E67" s="12"/>
      <c r="F67" s="12"/>
      <c r="G67" s="48"/>
      <c r="H67" s="12"/>
      <c r="I67" s="12"/>
      <c r="J67" s="12"/>
      <c r="K67" s="12"/>
      <c r="L67" s="50"/>
    </row>
    <row r="68" spans="1:14" x14ac:dyDescent="0.25">
      <c r="A68" s="35" t="s">
        <v>249</v>
      </c>
      <c r="B68" s="12"/>
      <c r="C68" s="239">
        <f t="shared" ref="C68:G68" si="34">C89</f>
        <v>3</v>
      </c>
      <c r="D68" s="239">
        <f t="shared" si="34"/>
        <v>3</v>
      </c>
      <c r="E68" s="239">
        <f t="shared" si="34"/>
        <v>2</v>
      </c>
      <c r="F68" s="239">
        <f t="shared" si="34"/>
        <v>2</v>
      </c>
      <c r="G68" s="239">
        <f t="shared" si="34"/>
        <v>4</v>
      </c>
      <c r="H68" s="240">
        <f>G73*H75</f>
        <v>2.4001644</v>
      </c>
      <c r="I68" s="240">
        <f t="shared" ref="I68:L68" si="35">H73*I75</f>
        <v>2.7498399999999998</v>
      </c>
      <c r="J68" s="240">
        <f t="shared" si="35"/>
        <v>2.7498399999999998</v>
      </c>
      <c r="K68" s="240">
        <f t="shared" si="35"/>
        <v>2.7498399999999998</v>
      </c>
      <c r="L68" s="212">
        <f t="shared" si="35"/>
        <v>2.7498399999999998</v>
      </c>
    </row>
    <row r="69" spans="1:14" ht="8.25" customHeight="1" x14ac:dyDescent="0.25">
      <c r="A69" s="35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50"/>
    </row>
    <row r="70" spans="1:14" x14ac:dyDescent="0.25">
      <c r="A70" s="35" t="s">
        <v>250</v>
      </c>
      <c r="B70" s="12"/>
      <c r="C70" s="12"/>
      <c r="D70" s="12"/>
      <c r="E70" s="203"/>
      <c r="F70" s="203"/>
      <c r="G70" s="203"/>
      <c r="H70" s="12"/>
      <c r="I70" s="12"/>
      <c r="J70" s="12"/>
      <c r="K70" s="12"/>
      <c r="L70" s="50"/>
    </row>
    <row r="71" spans="1:14" x14ac:dyDescent="0.25">
      <c r="A71" s="35" t="s">
        <v>251</v>
      </c>
      <c r="B71" s="207">
        <v>5.2119999999999997</v>
      </c>
      <c r="C71" s="207">
        <v>4.3499999999999996</v>
      </c>
      <c r="D71" s="207">
        <v>3.641</v>
      </c>
      <c r="E71" s="207">
        <v>3.6259999999999999</v>
      </c>
      <c r="F71" s="207">
        <v>3.085</v>
      </c>
      <c r="G71" s="207">
        <v>2.2010000000000001</v>
      </c>
      <c r="H71" s="205">
        <v>3.6</v>
      </c>
      <c r="I71" s="205">
        <v>3.6</v>
      </c>
      <c r="J71" s="205">
        <v>3.6</v>
      </c>
      <c r="K71" s="205">
        <v>3.6</v>
      </c>
      <c r="L71" s="210">
        <v>3.6</v>
      </c>
    </row>
    <row r="72" spans="1:14" x14ac:dyDescent="0.25">
      <c r="A72" s="35" t="s">
        <v>252</v>
      </c>
      <c r="B72" s="209">
        <v>3.9750000000000001</v>
      </c>
      <c r="C72" s="209">
        <v>4.0979999999999999</v>
      </c>
      <c r="D72" s="209">
        <v>3.7090000000000001</v>
      </c>
      <c r="E72" s="209">
        <v>3.359</v>
      </c>
      <c r="F72" s="209">
        <v>3.3860000000000001</v>
      </c>
      <c r="G72" s="209">
        <f>3.05+1.208</f>
        <v>4.258</v>
      </c>
      <c r="H72" s="206">
        <v>3.8</v>
      </c>
      <c r="I72" s="206">
        <v>3.8</v>
      </c>
      <c r="J72" s="206">
        <v>3.8</v>
      </c>
      <c r="K72" s="206">
        <v>3.8</v>
      </c>
      <c r="L72" s="211">
        <v>3.8</v>
      </c>
    </row>
    <row r="73" spans="1:14" x14ac:dyDescent="0.25">
      <c r="A73" s="35"/>
      <c r="B73" s="239">
        <f t="shared" ref="B73:L73" si="36">SUM(B71:B72)</f>
        <v>9.1869999999999994</v>
      </c>
      <c r="C73" s="239">
        <f t="shared" si="36"/>
        <v>8.4480000000000004</v>
      </c>
      <c r="D73" s="239">
        <f t="shared" si="36"/>
        <v>7.35</v>
      </c>
      <c r="E73" s="239">
        <f t="shared" si="36"/>
        <v>6.9849999999999994</v>
      </c>
      <c r="F73" s="239">
        <f t="shared" si="36"/>
        <v>6.4710000000000001</v>
      </c>
      <c r="G73" s="239">
        <f t="shared" si="36"/>
        <v>6.4589999999999996</v>
      </c>
      <c r="H73" s="240">
        <f t="shared" si="36"/>
        <v>7.4</v>
      </c>
      <c r="I73" s="240">
        <f t="shared" si="36"/>
        <v>7.4</v>
      </c>
      <c r="J73" s="240">
        <f t="shared" si="36"/>
        <v>7.4</v>
      </c>
      <c r="K73" s="240">
        <f t="shared" si="36"/>
        <v>7.4</v>
      </c>
      <c r="L73" s="212">
        <f t="shared" si="36"/>
        <v>7.4</v>
      </c>
    </row>
    <row r="74" spans="1:14" x14ac:dyDescent="0.25">
      <c r="A74" s="35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50"/>
    </row>
    <row r="75" spans="1:14" x14ac:dyDescent="0.25">
      <c r="A75" s="35" t="s">
        <v>253</v>
      </c>
      <c r="B75" s="12"/>
      <c r="C75" s="186">
        <f>C68/B73</f>
        <v>0.32654838358550126</v>
      </c>
      <c r="D75" s="186">
        <f t="shared" ref="D75:G75" si="37">D68/C73</f>
        <v>0.35511363636363635</v>
      </c>
      <c r="E75" s="186">
        <f t="shared" si="37"/>
        <v>0.27210884353741499</v>
      </c>
      <c r="F75" s="186">
        <f t="shared" si="37"/>
        <v>0.28632784538296352</v>
      </c>
      <c r="G75" s="186">
        <f t="shared" si="37"/>
        <v>0.61814248184206455</v>
      </c>
      <c r="H75" s="48">
        <v>0.37159999999999999</v>
      </c>
      <c r="I75" s="48">
        <v>0.37159999999999999</v>
      </c>
      <c r="J75" s="48">
        <v>0.37159999999999999</v>
      </c>
      <c r="K75" s="48">
        <v>0.37159999999999999</v>
      </c>
      <c r="L75" s="51">
        <v>0.37159999999999999</v>
      </c>
    </row>
    <row r="76" spans="1:14" ht="15.75" thickBot="1" x14ac:dyDescent="0.3">
      <c r="A76" s="36" t="s">
        <v>254</v>
      </c>
      <c r="B76" s="40"/>
      <c r="C76" s="187"/>
      <c r="D76" s="187"/>
      <c r="E76" s="187"/>
      <c r="F76" s="187"/>
      <c r="G76" s="187">
        <f>AVERAGE(C75:G75)</f>
        <v>0.37164823814231618</v>
      </c>
      <c r="H76" s="40"/>
      <c r="I76" s="40"/>
      <c r="J76" s="40"/>
      <c r="K76" s="40"/>
      <c r="L76" s="41"/>
    </row>
    <row r="77" spans="1:14" x14ac:dyDescent="0.25">
      <c r="B77" s="12"/>
      <c r="C77" s="12"/>
      <c r="D77" s="12"/>
      <c r="E77" s="12"/>
      <c r="F77" s="12"/>
      <c r="G77" s="48"/>
      <c r="H77" s="12"/>
      <c r="I77" s="12"/>
      <c r="J77" s="12"/>
      <c r="K77" s="12"/>
      <c r="L77" s="12"/>
    </row>
    <row r="78" spans="1:14" ht="15.75" thickBot="1" x14ac:dyDescent="0.3">
      <c r="B78" s="14"/>
      <c r="C78" s="14"/>
      <c r="D78" s="14"/>
      <c r="E78" s="14"/>
      <c r="F78" s="14"/>
      <c r="G78" s="14"/>
      <c r="H78" s="12"/>
      <c r="I78" s="12"/>
      <c r="J78" s="12"/>
      <c r="K78" s="12"/>
      <c r="L78" s="12"/>
    </row>
    <row r="79" spans="1:14" x14ac:dyDescent="0.25">
      <c r="A79" s="76" t="s">
        <v>255</v>
      </c>
      <c r="B79" s="179"/>
      <c r="C79" s="179"/>
      <c r="D79" s="179"/>
      <c r="E79" s="179"/>
      <c r="F79" s="179"/>
      <c r="G79" s="179"/>
      <c r="H79" s="39"/>
      <c r="I79" s="39"/>
      <c r="J79" s="39"/>
      <c r="K79" s="39"/>
      <c r="L79" s="45"/>
      <c r="M79" s="12"/>
      <c r="N79" s="12"/>
    </row>
    <row r="80" spans="1:14" x14ac:dyDescent="0.25">
      <c r="A80" s="35" t="s">
        <v>204</v>
      </c>
      <c r="B80" s="12"/>
      <c r="C80" s="183">
        <f>B82</f>
        <v>-65196</v>
      </c>
      <c r="D80" s="183">
        <f>C82</f>
        <v>-65793</v>
      </c>
      <c r="E80" s="183">
        <f t="shared" ref="E80:F80" si="38">D82</f>
        <v>-80794</v>
      </c>
      <c r="F80" s="183">
        <f t="shared" si="38"/>
        <v>-87298</v>
      </c>
      <c r="G80" s="183">
        <f>F82</f>
        <v>-95372</v>
      </c>
      <c r="H80" s="251">
        <f>G82</f>
        <v>-95971</v>
      </c>
      <c r="I80" s="251">
        <f t="shared" ref="I80:L80" si="39">H82</f>
        <v>-102171</v>
      </c>
      <c r="J80" s="251">
        <f t="shared" si="39"/>
        <v>-108371</v>
      </c>
      <c r="K80" s="251">
        <f t="shared" si="39"/>
        <v>-114571</v>
      </c>
      <c r="L80" s="251">
        <f t="shared" si="39"/>
        <v>-120771</v>
      </c>
    </row>
    <row r="81" spans="1:14" x14ac:dyDescent="0.25">
      <c r="A81" s="35" t="s">
        <v>256</v>
      </c>
      <c r="B81" s="32"/>
      <c r="C81" s="189">
        <v>-597</v>
      </c>
      <c r="D81" s="189">
        <v>-15001</v>
      </c>
      <c r="E81" s="189">
        <v>-6504</v>
      </c>
      <c r="F81" s="189">
        <v>-8074</v>
      </c>
      <c r="G81" s="189">
        <v>-599</v>
      </c>
      <c r="H81" s="106">
        <f>-H133</f>
        <v>-6200</v>
      </c>
      <c r="I81" s="106">
        <f t="shared" ref="I81:L81" si="40">-I133</f>
        <v>-6200</v>
      </c>
      <c r="J81" s="106">
        <f t="shared" si="40"/>
        <v>-6200</v>
      </c>
      <c r="K81" s="106">
        <f t="shared" si="40"/>
        <v>-6200</v>
      </c>
      <c r="L81" s="106">
        <f t="shared" si="40"/>
        <v>-6200</v>
      </c>
    </row>
    <row r="82" spans="1:14" x14ac:dyDescent="0.25">
      <c r="A82" s="35" t="s">
        <v>209</v>
      </c>
      <c r="B82" s="197">
        <f>Financials!B43</f>
        <v>-65196</v>
      </c>
      <c r="C82" s="197">
        <f>C80+C81</f>
        <v>-65793</v>
      </c>
      <c r="D82" s="197">
        <f t="shared" ref="D82:L82" si="41">D80+D81</f>
        <v>-80794</v>
      </c>
      <c r="E82" s="197">
        <f t="shared" si="41"/>
        <v>-87298</v>
      </c>
      <c r="F82" s="197">
        <f t="shared" si="41"/>
        <v>-95372</v>
      </c>
      <c r="G82" s="197">
        <f t="shared" si="41"/>
        <v>-95971</v>
      </c>
      <c r="H82" s="286">
        <f t="shared" si="41"/>
        <v>-102171</v>
      </c>
      <c r="I82" s="286">
        <f t="shared" si="41"/>
        <v>-108371</v>
      </c>
      <c r="J82" s="286">
        <f t="shared" si="41"/>
        <v>-114571</v>
      </c>
      <c r="K82" s="286">
        <f t="shared" si="41"/>
        <v>-120771</v>
      </c>
      <c r="L82" s="286">
        <f t="shared" si="41"/>
        <v>-126971</v>
      </c>
    </row>
    <row r="83" spans="1:14" ht="15.75" thickBot="1" x14ac:dyDescent="0.3">
      <c r="A83" s="36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1"/>
    </row>
    <row r="84" spans="1:14" x14ac:dyDescent="0.25">
      <c r="B84" s="14"/>
      <c r="C84" s="14"/>
      <c r="D84" s="14"/>
      <c r="E84" s="14"/>
      <c r="F84" s="14"/>
      <c r="G84" s="14"/>
      <c r="H84" s="12"/>
      <c r="I84" s="12"/>
      <c r="J84" s="12"/>
      <c r="K84" s="12"/>
      <c r="L84" s="12"/>
    </row>
    <row r="85" spans="1:14" ht="15.75" thickBot="1" x14ac:dyDescent="0.3">
      <c r="B85" s="65"/>
      <c r="C85" s="65"/>
      <c r="D85" s="65"/>
      <c r="E85" s="65"/>
      <c r="F85" s="65"/>
      <c r="G85" s="65"/>
      <c r="H85" s="12"/>
      <c r="I85" s="12"/>
      <c r="J85" s="12"/>
      <c r="K85" s="12"/>
      <c r="L85" s="12"/>
    </row>
    <row r="86" spans="1:14" x14ac:dyDescent="0.25">
      <c r="A86" s="76" t="s">
        <v>257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45"/>
    </row>
    <row r="87" spans="1:14" x14ac:dyDescent="0.25">
      <c r="A87" s="35" t="s">
        <v>204</v>
      </c>
      <c r="B87" s="185">
        <v>1782</v>
      </c>
      <c r="C87" s="185">
        <f>B90</f>
        <v>1786</v>
      </c>
      <c r="D87" s="185">
        <f t="shared" ref="D87" si="42">C90</f>
        <v>1789</v>
      </c>
      <c r="E87" s="185">
        <f t="shared" ref="E87" si="43">D90</f>
        <v>1792</v>
      </c>
      <c r="F87" s="185">
        <f t="shared" ref="F87" si="44">E90</f>
        <v>1794</v>
      </c>
      <c r="G87" s="185">
        <f t="shared" ref="G87:L87" si="45">F90</f>
        <v>1796</v>
      </c>
      <c r="H87" s="226">
        <f t="shared" si="45"/>
        <v>1800</v>
      </c>
      <c r="I87" s="226">
        <f t="shared" si="45"/>
        <v>1802.4001644</v>
      </c>
      <c r="J87" s="226">
        <f t="shared" si="45"/>
        <v>1805.1500043999999</v>
      </c>
      <c r="K87" s="226">
        <f t="shared" si="45"/>
        <v>1807.8998443999999</v>
      </c>
      <c r="L87" s="108">
        <f t="shared" si="45"/>
        <v>1810.6496843999998</v>
      </c>
      <c r="M87" s="1"/>
      <c r="N87" s="1"/>
    </row>
    <row r="88" spans="1:14" x14ac:dyDescent="0.25">
      <c r="A88" s="35" t="s">
        <v>258</v>
      </c>
      <c r="B88" s="185"/>
      <c r="C88" s="185"/>
      <c r="D88" s="185"/>
      <c r="E88" s="185"/>
      <c r="F88" s="185"/>
      <c r="G88" s="185"/>
      <c r="H88" s="226">
        <f>H54/H99</f>
        <v>0</v>
      </c>
      <c r="I88" s="226">
        <f t="shared" ref="I88:L88" si="46">I54/I99</f>
        <v>0</v>
      </c>
      <c r="J88" s="226">
        <f t="shared" si="46"/>
        <v>0</v>
      </c>
      <c r="K88" s="226">
        <f t="shared" si="46"/>
        <v>0</v>
      </c>
      <c r="L88" s="108">
        <f t="shared" si="46"/>
        <v>0</v>
      </c>
      <c r="M88" s="1"/>
      <c r="N88" s="1"/>
    </row>
    <row r="89" spans="1:14" x14ac:dyDescent="0.25">
      <c r="A89" s="35" t="s">
        <v>259</v>
      </c>
      <c r="B89" s="208">
        <v>4</v>
      </c>
      <c r="C89" s="208">
        <v>3</v>
      </c>
      <c r="D89" s="208">
        <v>3</v>
      </c>
      <c r="E89" s="208">
        <v>2</v>
      </c>
      <c r="F89" s="208">
        <v>2</v>
      </c>
      <c r="G89" s="208">
        <v>4</v>
      </c>
      <c r="H89" s="237">
        <f>H68</f>
        <v>2.4001644</v>
      </c>
      <c r="I89" s="237">
        <f t="shared" ref="I89:L89" si="47">I68</f>
        <v>2.7498399999999998</v>
      </c>
      <c r="J89" s="237">
        <f t="shared" si="47"/>
        <v>2.7498399999999998</v>
      </c>
      <c r="K89" s="237">
        <f t="shared" si="47"/>
        <v>2.7498399999999998</v>
      </c>
      <c r="L89" s="238">
        <f t="shared" si="47"/>
        <v>2.7498399999999998</v>
      </c>
      <c r="M89" s="1"/>
      <c r="N89" s="1"/>
    </row>
    <row r="90" spans="1:14" x14ac:dyDescent="0.25">
      <c r="A90" s="35" t="s">
        <v>209</v>
      </c>
      <c r="B90" s="185">
        <f>SUM(B87:B89)</f>
        <v>1786</v>
      </c>
      <c r="C90" s="185">
        <f t="shared" ref="C90:F90" si="48">SUM(C87:C89)</f>
        <v>1789</v>
      </c>
      <c r="D90" s="185">
        <f t="shared" si="48"/>
        <v>1792</v>
      </c>
      <c r="E90" s="185">
        <f t="shared" si="48"/>
        <v>1794</v>
      </c>
      <c r="F90" s="185">
        <f t="shared" si="48"/>
        <v>1796</v>
      </c>
      <c r="G90" s="185">
        <f t="shared" ref="G90:L90" si="49">SUM(G87:G89)</f>
        <v>1800</v>
      </c>
      <c r="H90" s="226">
        <f t="shared" si="49"/>
        <v>1802.4001644</v>
      </c>
      <c r="I90" s="226">
        <f t="shared" si="49"/>
        <v>1805.1500043999999</v>
      </c>
      <c r="J90" s="226">
        <f t="shared" si="49"/>
        <v>1807.8998443999999</v>
      </c>
      <c r="K90" s="226">
        <f t="shared" si="49"/>
        <v>1810.6496843999998</v>
      </c>
      <c r="L90" s="108">
        <f t="shared" si="49"/>
        <v>1813.3995243999998</v>
      </c>
      <c r="M90" s="1"/>
      <c r="N90" s="1"/>
    </row>
    <row r="91" spans="1:14" ht="8.25" customHeight="1" x14ac:dyDescent="0.25">
      <c r="A91" s="35"/>
      <c r="C91" s="12"/>
      <c r="D91" s="12"/>
      <c r="E91" s="12"/>
      <c r="F91" s="12"/>
      <c r="G91" s="12"/>
      <c r="H91" s="12"/>
      <c r="I91" s="12"/>
      <c r="J91" s="12"/>
      <c r="K91" s="12"/>
      <c r="L91" s="50"/>
      <c r="M91" s="1"/>
      <c r="N91" s="1"/>
    </row>
    <row r="92" spans="1:14" x14ac:dyDescent="0.25">
      <c r="A92" s="122" t="s">
        <v>260</v>
      </c>
      <c r="C92" s="12"/>
      <c r="D92" s="12"/>
      <c r="E92" s="12"/>
      <c r="F92" s="12"/>
      <c r="G92" s="12"/>
      <c r="H92" s="12"/>
      <c r="I92" s="12"/>
      <c r="J92" s="12"/>
      <c r="K92" s="12"/>
      <c r="L92" s="50"/>
      <c r="M92" s="1"/>
      <c r="N92" s="1"/>
    </row>
    <row r="93" spans="1:14" x14ac:dyDescent="0.25">
      <c r="A93" s="35" t="s">
        <v>204</v>
      </c>
      <c r="B93" s="185">
        <v>-677</v>
      </c>
      <c r="C93" s="185">
        <f>B95</f>
        <v>-709</v>
      </c>
      <c r="D93" s="185">
        <f t="shared" ref="D93" si="50">C95</f>
        <v>-712</v>
      </c>
      <c r="E93" s="185">
        <f t="shared" ref="E93" si="51">D95</f>
        <v>-757</v>
      </c>
      <c r="F93" s="185">
        <f t="shared" ref="F93" si="52">E95</f>
        <v>-778</v>
      </c>
      <c r="G93" s="185">
        <f t="shared" ref="G93:L93" si="53">F95</f>
        <v>-804</v>
      </c>
      <c r="H93" s="226">
        <f t="shared" si="53"/>
        <v>-806</v>
      </c>
      <c r="I93" s="226">
        <f t="shared" si="53"/>
        <v>-821.16782464037578</v>
      </c>
      <c r="J93" s="226">
        <f t="shared" si="53"/>
        <v>-836.33564928075157</v>
      </c>
      <c r="K93" s="226">
        <f t="shared" si="53"/>
        <v>-851.50347392112735</v>
      </c>
      <c r="L93" s="108">
        <f t="shared" si="53"/>
        <v>-866.67129856150314</v>
      </c>
      <c r="M93" s="1"/>
      <c r="N93" s="1"/>
    </row>
    <row r="94" spans="1:14" x14ac:dyDescent="0.25">
      <c r="A94" s="35" t="s">
        <v>261</v>
      </c>
      <c r="B94" s="214">
        <v>-32</v>
      </c>
      <c r="C94" s="214">
        <v>-3</v>
      </c>
      <c r="D94" s="214">
        <v>-45</v>
      </c>
      <c r="E94" s="214">
        <v>-21</v>
      </c>
      <c r="F94" s="214">
        <v>-26</v>
      </c>
      <c r="G94" s="214">
        <v>-2</v>
      </c>
      <c r="H94" s="213">
        <f>H81/H99</f>
        <v>-15.167824640375771</v>
      </c>
      <c r="I94" s="213">
        <f t="shared" ref="I94:K94" si="54">I81/I99</f>
        <v>-15.167824640375771</v>
      </c>
      <c r="J94" s="213">
        <f t="shared" si="54"/>
        <v>-15.167824640375771</v>
      </c>
      <c r="K94" s="213">
        <f t="shared" si="54"/>
        <v>-15.167824640375771</v>
      </c>
      <c r="L94" s="218">
        <f>L81/L99</f>
        <v>-15.167824640375771</v>
      </c>
      <c r="M94" s="1"/>
      <c r="N94" s="1"/>
    </row>
    <row r="95" spans="1:14" x14ac:dyDescent="0.25">
      <c r="A95" s="35" t="s">
        <v>209</v>
      </c>
      <c r="B95" s="215">
        <f>B93+B94</f>
        <v>-709</v>
      </c>
      <c r="C95" s="215">
        <f t="shared" ref="C95:F95" si="55">C93+C94</f>
        <v>-712</v>
      </c>
      <c r="D95" s="215">
        <f t="shared" si="55"/>
        <v>-757</v>
      </c>
      <c r="E95" s="215">
        <f t="shared" si="55"/>
        <v>-778</v>
      </c>
      <c r="F95" s="215">
        <f t="shared" si="55"/>
        <v>-804</v>
      </c>
      <c r="G95" s="215">
        <f t="shared" ref="G95:L95" si="56">G93+G94</f>
        <v>-806</v>
      </c>
      <c r="H95" s="216">
        <f t="shared" si="56"/>
        <v>-821.16782464037578</v>
      </c>
      <c r="I95" s="216">
        <f t="shared" si="56"/>
        <v>-836.33564928075157</v>
      </c>
      <c r="J95" s="216">
        <f t="shared" si="56"/>
        <v>-851.50347392112735</v>
      </c>
      <c r="K95" s="216">
        <f t="shared" si="56"/>
        <v>-866.67129856150314</v>
      </c>
      <c r="L95" s="217">
        <f t="shared" si="56"/>
        <v>-881.83912320187892</v>
      </c>
    </row>
    <row r="96" spans="1:14" ht="9" customHeight="1" x14ac:dyDescent="0.25">
      <c r="A96" s="35"/>
      <c r="L96" s="117"/>
    </row>
    <row r="97" spans="1:13" x14ac:dyDescent="0.25">
      <c r="A97" s="122" t="s">
        <v>262</v>
      </c>
      <c r="B97" s="214">
        <f>B90+B95</f>
        <v>1077</v>
      </c>
      <c r="C97" s="214">
        <f>C90+C95</f>
        <v>1077</v>
      </c>
      <c r="D97" s="214">
        <f t="shared" ref="D97:L97" si="57">D90+D95</f>
        <v>1035</v>
      </c>
      <c r="E97" s="214">
        <f t="shared" si="57"/>
        <v>1016</v>
      </c>
      <c r="F97" s="214">
        <f t="shared" si="57"/>
        <v>992</v>
      </c>
      <c r="G97" s="214">
        <f t="shared" si="57"/>
        <v>994</v>
      </c>
      <c r="H97" s="213">
        <f t="shared" si="57"/>
        <v>981.23233975962421</v>
      </c>
      <c r="I97" s="213">
        <f t="shared" si="57"/>
        <v>968.81435511924838</v>
      </c>
      <c r="J97" s="213">
        <f t="shared" si="57"/>
        <v>956.39637047887254</v>
      </c>
      <c r="K97" s="213">
        <f t="shared" si="57"/>
        <v>943.97838583849671</v>
      </c>
      <c r="L97" s="218">
        <f t="shared" si="57"/>
        <v>931.56040119812087</v>
      </c>
    </row>
    <row r="98" spans="1:13" x14ac:dyDescent="0.25">
      <c r="A98" s="35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50"/>
    </row>
    <row r="99" spans="1:13" ht="15.75" thickBot="1" x14ac:dyDescent="0.3">
      <c r="A99" s="36" t="s">
        <v>263</v>
      </c>
      <c r="B99" s="77"/>
      <c r="C99" s="77"/>
      <c r="D99" s="201">
        <v>366.54</v>
      </c>
      <c r="E99" s="201">
        <v>316.69</v>
      </c>
      <c r="F99" s="201">
        <v>355.3</v>
      </c>
      <c r="G99" s="201">
        <v>408.76</v>
      </c>
      <c r="H99" s="77">
        <v>408.76</v>
      </c>
      <c r="I99" s="77">
        <v>408.76</v>
      </c>
      <c r="J99" s="77">
        <v>408.76</v>
      </c>
      <c r="K99" s="77">
        <v>408.76</v>
      </c>
      <c r="L99" s="135">
        <v>408.76</v>
      </c>
    </row>
    <row r="101" spans="1:13" ht="15.75" thickBot="1" x14ac:dyDescent="0.3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x14ac:dyDescent="0.25">
      <c r="A102" s="76" t="s">
        <v>264</v>
      </c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45"/>
      <c r="M102" s="12"/>
    </row>
    <row r="103" spans="1:13" x14ac:dyDescent="0.25">
      <c r="A103" s="54" t="s">
        <v>265</v>
      </c>
      <c r="B103" s="14"/>
      <c r="C103" s="180">
        <f>Financials!C124</f>
        <v>-6451</v>
      </c>
      <c r="D103" s="180">
        <f>Financials!D124</f>
        <v>-6985</v>
      </c>
      <c r="E103" s="180">
        <f>Financials!E124</f>
        <v>-7789</v>
      </c>
      <c r="F103" s="180">
        <f>Financials!F124</f>
        <v>-8383</v>
      </c>
      <c r="G103" s="180">
        <f>Financials!G124</f>
        <v>-8929</v>
      </c>
      <c r="H103" s="287">
        <f>-G97*H105</f>
        <v>-7524.58</v>
      </c>
      <c r="I103" s="287">
        <f t="shared" ref="I103:L103" si="58">-H97*I105</f>
        <v>-7427.9288119803559</v>
      </c>
      <c r="J103" s="287">
        <f t="shared" si="58"/>
        <v>-7333.92466825271</v>
      </c>
      <c r="K103" s="287">
        <f t="shared" si="58"/>
        <v>-7239.920524525065</v>
      </c>
      <c r="L103" s="287">
        <f t="shared" si="58"/>
        <v>-7145.9163807974201</v>
      </c>
    </row>
    <row r="104" spans="1:13" x14ac:dyDescent="0.25">
      <c r="A104" s="54"/>
      <c r="B104" s="14"/>
      <c r="C104" s="14"/>
      <c r="D104" s="14"/>
      <c r="E104" s="14"/>
      <c r="F104" s="14"/>
      <c r="G104" s="14"/>
      <c r="H104" s="53"/>
      <c r="I104" s="53"/>
      <c r="J104" s="53"/>
      <c r="K104" s="53"/>
      <c r="L104" s="55"/>
    </row>
    <row r="105" spans="1:13" ht="15.75" thickBot="1" x14ac:dyDescent="0.3">
      <c r="A105" s="56" t="s">
        <v>266</v>
      </c>
      <c r="B105" s="77"/>
      <c r="C105" s="201">
        <f>-C103/C97</f>
        <v>5.9897864438254409</v>
      </c>
      <c r="D105" s="201">
        <f t="shared" ref="D105:G105" si="59">-D103/D97</f>
        <v>6.7487922705314007</v>
      </c>
      <c r="E105" s="201">
        <f t="shared" si="59"/>
        <v>7.6663385826771657</v>
      </c>
      <c r="F105" s="201">
        <f t="shared" si="59"/>
        <v>8.4506048387096779</v>
      </c>
      <c r="G105" s="201">
        <f t="shared" si="59"/>
        <v>8.9828973843058346</v>
      </c>
      <c r="H105" s="288">
        <v>7.57</v>
      </c>
      <c r="I105" s="288">
        <v>7.57</v>
      </c>
      <c r="J105" s="288">
        <v>7.57</v>
      </c>
      <c r="K105" s="288">
        <v>7.57</v>
      </c>
      <c r="L105" s="288">
        <v>7.57</v>
      </c>
    </row>
    <row r="106" spans="1:13" x14ac:dyDescent="0.25"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1:13" x14ac:dyDescent="0.25"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1:13" x14ac:dyDescent="0.25"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1:13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3" x14ac:dyDescent="0.25">
      <c r="A110" s="37" t="s">
        <v>267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3" x14ac:dyDescent="0.25">
      <c r="A111" s="37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1:13" x14ac:dyDescent="0.25">
      <c r="A112" s="134" t="s">
        <v>268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1:12" x14ac:dyDescent="0.25">
      <c r="A113" t="s">
        <v>269</v>
      </c>
      <c r="B113" s="12"/>
      <c r="C113" s="12"/>
      <c r="D113" s="12"/>
      <c r="E113" s="12"/>
      <c r="F113" s="12"/>
      <c r="G113" s="12"/>
      <c r="H113" s="104">
        <f>Financials!H107</f>
        <v>23537.629803206881</v>
      </c>
      <c r="I113" s="104">
        <f>Financials!I107</f>
        <v>22515.837920620866</v>
      </c>
      <c r="J113" s="104">
        <f>Financials!J107</f>
        <v>24452.04579883656</v>
      </c>
      <c r="K113" s="104">
        <f>Financials!K107</f>
        <v>26336.326515153934</v>
      </c>
      <c r="L113" s="104">
        <f>Financials!L107</f>
        <v>28187.079138289646</v>
      </c>
    </row>
    <row r="114" spans="1:12" x14ac:dyDescent="0.25">
      <c r="A114" t="s">
        <v>270</v>
      </c>
      <c r="B114" s="12"/>
      <c r="C114" s="12"/>
      <c r="D114" s="12"/>
      <c r="E114" s="12"/>
      <c r="F114" s="12"/>
      <c r="G114" s="12"/>
      <c r="H114" s="104">
        <f>Financials!H110+Financials!H111+Financials!H112</f>
        <v>-3593.303109797836</v>
      </c>
      <c r="I114" s="104">
        <f>Financials!I110+Financials!I111+Financials!I112</f>
        <v>-3865.9685453207967</v>
      </c>
      <c r="J114" s="104">
        <f>Financials!J110+Financials!J111+Financials!J112</f>
        <v>-4159.9455419602964</v>
      </c>
      <c r="K114" s="104">
        <f>Financials!K110+Financials!K111+Financials!K112</f>
        <v>-4476.9582751591706</v>
      </c>
      <c r="L114" s="104">
        <f>Financials!L110+Financials!L111+Financials!L112</f>
        <v>-4818.8746685874503</v>
      </c>
    </row>
    <row r="115" spans="1:12" x14ac:dyDescent="0.25">
      <c r="A115" t="s">
        <v>271</v>
      </c>
      <c r="B115" s="12"/>
      <c r="C115" s="12"/>
      <c r="D115" s="12"/>
      <c r="E115" s="12"/>
      <c r="F115" s="12"/>
      <c r="G115" s="12"/>
      <c r="H115" s="104">
        <f>H55</f>
        <v>268.3321355162422</v>
      </c>
      <c r="I115" s="104">
        <f>I55</f>
        <v>289.49404206161796</v>
      </c>
      <c r="J115" s="104">
        <f>J55</f>
        <v>312.36117991114872</v>
      </c>
      <c r="K115" s="104">
        <f>K55</f>
        <v>337.06863634614871</v>
      </c>
      <c r="L115" s="104">
        <f>L55</f>
        <v>363.92644428648504</v>
      </c>
    </row>
    <row r="116" spans="1:12" x14ac:dyDescent="0.25">
      <c r="A116" t="s">
        <v>272</v>
      </c>
      <c r="B116" s="12"/>
      <c r="C116" s="12"/>
      <c r="D116" s="12"/>
      <c r="E116" s="12"/>
      <c r="F116" s="12"/>
      <c r="G116" s="12"/>
      <c r="H116" s="104">
        <f>H103</f>
        <v>-7524.58</v>
      </c>
      <c r="I116" s="104">
        <f>I103</f>
        <v>-7427.9288119803559</v>
      </c>
      <c r="J116" s="104">
        <f>J103</f>
        <v>-7333.92466825271</v>
      </c>
      <c r="K116" s="104">
        <f>K103</f>
        <v>-7239.920524525065</v>
      </c>
      <c r="L116" s="104">
        <f>L103</f>
        <v>-7145.9163807974201</v>
      </c>
    </row>
    <row r="117" spans="1:12" x14ac:dyDescent="0.25">
      <c r="A117" t="s">
        <v>273</v>
      </c>
      <c r="B117" s="12"/>
      <c r="C117" s="12"/>
      <c r="D117" s="12"/>
      <c r="E117" s="12"/>
      <c r="F117" s="12"/>
      <c r="G117" s="12"/>
      <c r="H117" s="106">
        <f>H24</f>
        <v>-4582</v>
      </c>
      <c r="I117" s="106">
        <f>I24</f>
        <v>-4845</v>
      </c>
      <c r="J117" s="106">
        <f>J24</f>
        <v>-3769</v>
      </c>
      <c r="K117" s="106">
        <f>K24</f>
        <v>-2727</v>
      </c>
      <c r="L117" s="106">
        <f>L24</f>
        <v>-3946</v>
      </c>
    </row>
    <row r="118" spans="1:12" x14ac:dyDescent="0.25">
      <c r="A118" t="s">
        <v>274</v>
      </c>
      <c r="B118" s="12"/>
      <c r="C118" s="12"/>
      <c r="D118" s="12"/>
      <c r="E118" s="12"/>
      <c r="F118" s="12"/>
      <c r="G118" s="12"/>
      <c r="H118" s="104">
        <f>SUM(H113:H117)</f>
        <v>8106.0788289252869</v>
      </c>
      <c r="I118" s="104">
        <f>SUM(I113:I117)</f>
        <v>6666.4346053813315</v>
      </c>
      <c r="J118" s="104">
        <f>SUM(J113:J117)</f>
        <v>9501.5367685347028</v>
      </c>
      <c r="K118" s="104">
        <f>SUM(K113:K117)</f>
        <v>12229.51635181585</v>
      </c>
      <c r="L118" s="104">
        <f>SUM(L113:L117)</f>
        <v>12640.214533191262</v>
      </c>
    </row>
    <row r="119" spans="1:12" x14ac:dyDescent="0.25">
      <c r="A119" t="s">
        <v>275</v>
      </c>
      <c r="B119" s="12"/>
      <c r="C119" s="12"/>
      <c r="D119" s="12"/>
      <c r="E119" s="12"/>
      <c r="F119" s="12"/>
      <c r="G119" s="12"/>
      <c r="H119" s="106">
        <f>Financials!G5</f>
        <v>1659</v>
      </c>
      <c r="I119" s="106">
        <f>Financials!H5</f>
        <v>2600</v>
      </c>
      <c r="J119" s="106">
        <f>Financials!I5</f>
        <v>2600</v>
      </c>
      <c r="K119" s="106">
        <f>Financials!J5</f>
        <v>2600</v>
      </c>
      <c r="L119" s="106">
        <f>Financials!K5</f>
        <v>2600</v>
      </c>
    </row>
    <row r="120" spans="1:12" x14ac:dyDescent="0.25">
      <c r="A120" t="s">
        <v>276</v>
      </c>
      <c r="B120" s="12"/>
      <c r="C120" s="12"/>
      <c r="D120" s="12"/>
      <c r="E120" s="12"/>
      <c r="F120" s="12"/>
      <c r="G120" s="12"/>
      <c r="H120" s="104">
        <f>H118+H119</f>
        <v>9765.0788289252869</v>
      </c>
      <c r="I120" s="104">
        <f>I118+I119</f>
        <v>9266.4346053813315</v>
      </c>
      <c r="J120" s="104">
        <f>J118+J119</f>
        <v>12101.536768534703</v>
      </c>
      <c r="K120" s="104">
        <f>K118+K119</f>
        <v>14829.51635181585</v>
      </c>
      <c r="L120" s="104">
        <f>L118+L119</f>
        <v>15240.214533191262</v>
      </c>
    </row>
    <row r="121" spans="1:12" ht="15.75" thickBot="1" x14ac:dyDescent="0.3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1:12" x14ac:dyDescent="0.25">
      <c r="A122" s="63" t="s">
        <v>277</v>
      </c>
      <c r="B122" s="39"/>
      <c r="C122" s="39"/>
      <c r="D122" s="39"/>
      <c r="E122" s="39"/>
      <c r="F122" s="39"/>
      <c r="G122" s="39"/>
      <c r="H122" s="267">
        <v>2600</v>
      </c>
      <c r="I122" s="267">
        <v>2600</v>
      </c>
      <c r="J122" s="267">
        <v>2600</v>
      </c>
      <c r="K122" s="267">
        <v>2600</v>
      </c>
      <c r="L122" s="267">
        <v>2600</v>
      </c>
    </row>
    <row r="123" spans="1:12" ht="15.75" thickBot="1" x14ac:dyDescent="0.3">
      <c r="A123" s="36" t="s">
        <v>278</v>
      </c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1"/>
    </row>
    <row r="124" spans="1:12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1:12" ht="15.75" thickBot="1" x14ac:dyDescent="0.3">
      <c r="A125" s="72" t="s">
        <v>279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1:12" ht="15.75" thickBot="1" x14ac:dyDescent="0.3">
      <c r="A126" s="38" t="s">
        <v>280</v>
      </c>
      <c r="B126" s="39"/>
      <c r="C126" s="39"/>
      <c r="D126" s="39"/>
      <c r="E126" s="39"/>
      <c r="F126" s="39"/>
      <c r="G126" s="39"/>
      <c r="H126" s="113">
        <f>IF(H120&lt;H122,H122-H120,0)</f>
        <v>0</v>
      </c>
      <c r="I126" s="113">
        <f t="shared" ref="I126:L126" si="60">IF(I120&lt;I122,I122-I120,0)</f>
        <v>0</v>
      </c>
      <c r="J126" s="113">
        <f t="shared" si="60"/>
        <v>0</v>
      </c>
      <c r="K126" s="113">
        <f t="shared" si="60"/>
        <v>0</v>
      </c>
      <c r="L126" s="113">
        <f t="shared" si="60"/>
        <v>0</v>
      </c>
    </row>
    <row r="127" spans="1:12" ht="15.75" thickBot="1" x14ac:dyDescent="0.3">
      <c r="A127" s="73" t="s">
        <v>281</v>
      </c>
      <c r="B127" s="74"/>
      <c r="C127" s="74"/>
      <c r="D127" s="74"/>
      <c r="E127" s="74"/>
      <c r="F127" s="74"/>
      <c r="G127" s="74"/>
      <c r="H127" s="49">
        <v>1</v>
      </c>
      <c r="I127" s="49">
        <v>1</v>
      </c>
      <c r="J127" s="49">
        <v>1</v>
      </c>
      <c r="K127" s="49">
        <v>1</v>
      </c>
      <c r="L127" s="202">
        <v>1</v>
      </c>
    </row>
    <row r="128" spans="1:12" x14ac:dyDescent="0.25">
      <c r="A128" s="35" t="s">
        <v>282</v>
      </c>
      <c r="B128" s="12"/>
      <c r="C128" s="12"/>
      <c r="D128" s="12"/>
      <c r="E128" s="12"/>
      <c r="F128" s="12"/>
      <c r="G128" s="12"/>
      <c r="H128" s="104">
        <f>H126*H127</f>
        <v>0</v>
      </c>
      <c r="I128" s="104">
        <f>I126*I127</f>
        <v>0</v>
      </c>
      <c r="J128" s="104">
        <f>J126*J127</f>
        <v>0</v>
      </c>
      <c r="K128" s="104">
        <f>K126*K127</f>
        <v>0</v>
      </c>
      <c r="L128" s="105">
        <f>L126*L127</f>
        <v>0</v>
      </c>
    </row>
    <row r="129" spans="1:12" ht="15.75" thickBot="1" x14ac:dyDescent="0.3">
      <c r="A129" s="36" t="s">
        <v>283</v>
      </c>
      <c r="B129" s="40"/>
      <c r="C129" s="40"/>
      <c r="D129" s="40"/>
      <c r="E129" s="40"/>
      <c r="F129" s="40"/>
      <c r="G129" s="40"/>
      <c r="H129" s="199">
        <f>H126*(1-H127)</f>
        <v>0</v>
      </c>
      <c r="I129" s="199">
        <f>I126*(1-I127)</f>
        <v>0</v>
      </c>
      <c r="J129" s="199">
        <f>J126*(1-J127)</f>
        <v>0</v>
      </c>
      <c r="K129" s="199">
        <f>K126*(1-K127)</f>
        <v>0</v>
      </c>
      <c r="L129" s="200">
        <f>L126*(1-L127)</f>
        <v>0</v>
      </c>
    </row>
    <row r="130" spans="1:12" x14ac:dyDescent="0.25">
      <c r="A130" s="75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1:12" ht="15.75" thickBot="1" x14ac:dyDescent="0.3">
      <c r="A131" s="72" t="s">
        <v>284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1:12" x14ac:dyDescent="0.25">
      <c r="A132" s="38" t="s">
        <v>285</v>
      </c>
      <c r="B132" s="39"/>
      <c r="C132" s="39"/>
      <c r="D132" s="39"/>
      <c r="E132" s="39"/>
      <c r="F132" s="39"/>
      <c r="G132" s="39"/>
      <c r="H132" s="267">
        <f>IF(H120&gt;H122,H120-H122,0)</f>
        <v>7165.0788289252869</v>
      </c>
      <c r="I132" s="267">
        <f t="shared" ref="I132:L132" si="61">IF(I120&gt;I122,I120-I122,0)</f>
        <v>6666.4346053813315</v>
      </c>
      <c r="J132" s="267">
        <f t="shared" si="61"/>
        <v>9501.5367685347028</v>
      </c>
      <c r="K132" s="267">
        <f t="shared" si="61"/>
        <v>12229.51635181585</v>
      </c>
      <c r="L132" s="267">
        <f t="shared" si="61"/>
        <v>12640.214533191262</v>
      </c>
    </row>
    <row r="133" spans="1:12" x14ac:dyDescent="0.25">
      <c r="A133" s="35" t="s">
        <v>286</v>
      </c>
      <c r="B133" s="12"/>
      <c r="C133" s="12"/>
      <c r="D133" s="12"/>
      <c r="E133" s="12"/>
      <c r="F133" s="12"/>
      <c r="G133" s="12"/>
      <c r="H133" s="251">
        <v>6200</v>
      </c>
      <c r="I133" s="251">
        <v>6200</v>
      </c>
      <c r="J133" s="251">
        <v>6200</v>
      </c>
      <c r="K133" s="251">
        <v>6200</v>
      </c>
      <c r="L133" s="251">
        <v>6200</v>
      </c>
    </row>
    <row r="134" spans="1:12" x14ac:dyDescent="0.25">
      <c r="A134" s="35" t="s">
        <v>287</v>
      </c>
      <c r="B134" s="12"/>
      <c r="C134" s="12"/>
      <c r="D134" s="12"/>
      <c r="E134" s="12"/>
      <c r="F134" s="12"/>
      <c r="G134" s="12"/>
      <c r="H134" s="32"/>
      <c r="I134" s="32"/>
      <c r="J134" s="32"/>
      <c r="K134" s="32"/>
      <c r="L134" s="241"/>
    </row>
    <row r="135" spans="1:12" ht="15.75" thickBot="1" x14ac:dyDescent="0.3">
      <c r="A135" s="36" t="s">
        <v>288</v>
      </c>
      <c r="B135" s="40"/>
      <c r="C135" s="40"/>
      <c r="D135" s="40"/>
      <c r="E135" s="40"/>
      <c r="F135" s="40"/>
      <c r="G135" s="40"/>
      <c r="H135" s="289">
        <f>H132-H133-H134</f>
        <v>965.07882892528687</v>
      </c>
      <c r="I135" s="289">
        <f t="shared" ref="I135:L135" si="62">I132-I133-I134</f>
        <v>466.43460538133149</v>
      </c>
      <c r="J135" s="289">
        <f t="shared" si="62"/>
        <v>3301.5367685347028</v>
      </c>
      <c r="K135" s="289">
        <f t="shared" si="62"/>
        <v>6029.5163518158497</v>
      </c>
      <c r="L135" s="289">
        <f t="shared" si="62"/>
        <v>6440.2145331912616</v>
      </c>
    </row>
    <row r="136" spans="1:12" ht="15.75" thickBot="1" x14ac:dyDescent="0.3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1:12" x14ac:dyDescent="0.25">
      <c r="A137" s="63" t="s">
        <v>289</v>
      </c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45"/>
    </row>
    <row r="138" spans="1:12" x14ac:dyDescent="0.25">
      <c r="A138" s="35" t="s">
        <v>290</v>
      </c>
      <c r="B138" s="12"/>
      <c r="C138" s="12"/>
      <c r="D138" s="12"/>
      <c r="E138" s="12"/>
      <c r="F138" s="12"/>
      <c r="G138" s="12"/>
      <c r="H138" s="104">
        <v>0</v>
      </c>
      <c r="I138" s="104">
        <f>H141</f>
        <v>965.07882892528687</v>
      </c>
      <c r="J138" s="104">
        <f t="shared" ref="J138:L138" si="63">I141</f>
        <v>1431.5134343066184</v>
      </c>
      <c r="K138" s="104">
        <f t="shared" si="63"/>
        <v>4733.0502028413212</v>
      </c>
      <c r="L138" s="105">
        <f t="shared" si="63"/>
        <v>10762.566554657171</v>
      </c>
    </row>
    <row r="139" spans="1:12" x14ac:dyDescent="0.25">
      <c r="A139" s="35" t="s">
        <v>291</v>
      </c>
      <c r="B139" s="12"/>
      <c r="C139" s="12"/>
      <c r="D139" s="12"/>
      <c r="E139" s="12"/>
      <c r="F139" s="12"/>
      <c r="G139" s="12"/>
      <c r="H139" s="104">
        <f>H135</f>
        <v>965.07882892528687</v>
      </c>
      <c r="I139" s="104">
        <f t="shared" ref="I139:L139" si="64">I135</f>
        <v>466.43460538133149</v>
      </c>
      <c r="J139" s="104">
        <f t="shared" si="64"/>
        <v>3301.5367685347028</v>
      </c>
      <c r="K139" s="104">
        <f t="shared" si="64"/>
        <v>6029.5163518158497</v>
      </c>
      <c r="L139" s="105">
        <f t="shared" si="64"/>
        <v>6440.2145331912616</v>
      </c>
    </row>
    <row r="140" spans="1:12" x14ac:dyDescent="0.25">
      <c r="A140" s="35" t="s">
        <v>292</v>
      </c>
      <c r="B140" s="32"/>
      <c r="C140" s="32"/>
      <c r="D140" s="32"/>
      <c r="E140" s="32"/>
      <c r="F140" s="32"/>
      <c r="G140" s="32"/>
      <c r="H140" s="106"/>
      <c r="I140" s="106"/>
      <c r="J140" s="106"/>
      <c r="K140" s="106"/>
      <c r="L140" s="107"/>
    </row>
    <row r="141" spans="1:12" x14ac:dyDescent="0.25">
      <c r="A141" s="35" t="s">
        <v>293</v>
      </c>
      <c r="B141" s="183">
        <v>0</v>
      </c>
      <c r="C141" s="183">
        <v>0</v>
      </c>
      <c r="D141" s="183">
        <v>0</v>
      </c>
      <c r="E141" s="183">
        <v>0</v>
      </c>
      <c r="F141" s="183">
        <v>0</v>
      </c>
      <c r="G141" s="183">
        <v>0</v>
      </c>
      <c r="H141" s="104">
        <f>SUM(H138:H140)</f>
        <v>965.07882892528687</v>
      </c>
      <c r="I141" s="104">
        <f>SUM(I138:I140)</f>
        <v>1431.5134343066184</v>
      </c>
      <c r="J141" s="104">
        <f>SUM(J138:J140)</f>
        <v>4733.0502028413212</v>
      </c>
      <c r="K141" s="104">
        <f>SUM(K138:K140)</f>
        <v>10762.566554657171</v>
      </c>
      <c r="L141" s="105">
        <f>SUM(L138:L140)</f>
        <v>17202.781087848431</v>
      </c>
    </row>
    <row r="142" spans="1:12" x14ac:dyDescent="0.25">
      <c r="A142" s="35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50"/>
    </row>
    <row r="143" spans="1:12" x14ac:dyDescent="0.25">
      <c r="A143" s="35" t="s">
        <v>294</v>
      </c>
      <c r="B143" s="183">
        <f>-Financials!B70</f>
        <v>73</v>
      </c>
      <c r="C143" s="183">
        <f>-Financials!C70</f>
        <v>47</v>
      </c>
      <c r="D143" s="183">
        <f>-Financials!D70</f>
        <v>44</v>
      </c>
      <c r="E143" s="183">
        <f>-Financials!E70</f>
        <v>55</v>
      </c>
      <c r="F143" s="183">
        <f>-Financials!F70</f>
        <v>178</v>
      </c>
      <c r="G143" s="183">
        <f>-Financials!G70</f>
        <v>201</v>
      </c>
      <c r="H143" s="104">
        <f>G141*H145</f>
        <v>0</v>
      </c>
      <c r="I143" s="104">
        <f t="shared" ref="I143:L143" si="65">H141*I145</f>
        <v>67.55551802477008</v>
      </c>
      <c r="J143" s="104">
        <f t="shared" si="65"/>
        <v>100.20594040146329</v>
      </c>
      <c r="K143" s="104">
        <f t="shared" si="65"/>
        <v>331.31351419889251</v>
      </c>
      <c r="L143" s="105">
        <f t="shared" si="65"/>
        <v>753.37965882600201</v>
      </c>
    </row>
    <row r="144" spans="1:12" ht="9" customHeight="1" x14ac:dyDescent="0.25">
      <c r="A144" s="35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50"/>
    </row>
    <row r="145" spans="1:12" x14ac:dyDescent="0.25">
      <c r="A145" s="35" t="s">
        <v>295</v>
      </c>
      <c r="B145" s="48"/>
      <c r="C145" s="48"/>
      <c r="D145" s="48"/>
      <c r="E145" s="48"/>
      <c r="F145" s="48"/>
      <c r="G145" s="48"/>
      <c r="H145" s="71">
        <v>7.0000000000000007E-2</v>
      </c>
      <c r="I145" s="71">
        <v>7.0000000000000007E-2</v>
      </c>
      <c r="J145" s="71">
        <v>7.0000000000000007E-2</v>
      </c>
      <c r="K145" s="71">
        <v>7.0000000000000007E-2</v>
      </c>
      <c r="L145" s="128">
        <v>7.0000000000000007E-2</v>
      </c>
    </row>
    <row r="146" spans="1:12" ht="15.75" thickBot="1" x14ac:dyDescent="0.3">
      <c r="A146" s="36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1"/>
    </row>
    <row r="147" spans="1:12" x14ac:dyDescent="0.25">
      <c r="B147" s="46"/>
      <c r="C147" s="46"/>
      <c r="D147" s="46"/>
      <c r="E147" s="46"/>
      <c r="F147" s="46"/>
      <c r="G147" s="46"/>
      <c r="H147" s="12"/>
      <c r="I147" s="12"/>
      <c r="J147" s="12"/>
      <c r="K147" s="12"/>
      <c r="L147" s="12"/>
    </row>
    <row r="148" spans="1:12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1:12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1:12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2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1:12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1:12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1:12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1:12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1:12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1:12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1:12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1:12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1:12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2:12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2:12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2:12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2:12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2:12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2:12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2:12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2:12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2:12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2:12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2:12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2:12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2:12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2:12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2:12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2:12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2:12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2:12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2:12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2:12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2:12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2:12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2:12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2:12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2:12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2:12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2:12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2:12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2:12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2:12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2:12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2:12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2:12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2:12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2:12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2:12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2:12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2:12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2:12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2:12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2:12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2:12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2:12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2:12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2:12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2:12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2:12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2:12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2:12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2:12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2:12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2:12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2:12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2:12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spans="2:12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spans="2:12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spans="2:12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spans="2:12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spans="2:12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2:12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spans="2:12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spans="2:12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spans="2:12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spans="2:12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spans="2:12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2:12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spans="2:12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spans="2:12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spans="2:12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spans="2:12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spans="2:12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spans="2:12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spans="2:12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spans="2:12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spans="2:12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spans="2:12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2:12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spans="2:12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2:12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2:12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2:12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2:12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spans="2:12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spans="2:12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2:12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spans="2:12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spans="2:12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2:12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spans="2:12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2:12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spans="2:12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2:12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2:12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2:12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  <row r="256" spans="2:12" x14ac:dyDescent="0.25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</row>
    <row r="257" spans="2:12" x14ac:dyDescent="0.25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</row>
    <row r="258" spans="2:12" x14ac:dyDescent="0.25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spans="2:12" x14ac:dyDescent="0.25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</row>
    <row r="260" spans="2:12" x14ac:dyDescent="0.25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</row>
    <row r="261" spans="2:12" x14ac:dyDescent="0.25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</row>
    <row r="262" spans="2:12" x14ac:dyDescent="0.25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</row>
    <row r="263" spans="2:12" x14ac:dyDescent="0.25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</row>
    <row r="264" spans="2:12" x14ac:dyDescent="0.25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</row>
    <row r="265" spans="2:12" x14ac:dyDescent="0.25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</row>
    <row r="266" spans="2:12" x14ac:dyDescent="0.25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</row>
    <row r="267" spans="2:12" x14ac:dyDescent="0.25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</row>
    <row r="268" spans="2:12" x14ac:dyDescent="0.2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spans="2:12" x14ac:dyDescent="0.25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</row>
    <row r="270" spans="2:12" x14ac:dyDescent="0.25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</row>
    <row r="271" spans="2:12" x14ac:dyDescent="0.25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spans="2:12" x14ac:dyDescent="0.25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</row>
    <row r="273" spans="2:12" x14ac:dyDescent="0.25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</row>
    <row r="274" spans="2:12" x14ac:dyDescent="0.25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</row>
    <row r="275" spans="2:12" x14ac:dyDescent="0.25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</row>
    <row r="276" spans="2:12" x14ac:dyDescent="0.25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</row>
    <row r="277" spans="2:12" x14ac:dyDescent="0.25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</row>
    <row r="278" spans="2:12" x14ac:dyDescent="0.25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</row>
    <row r="279" spans="2:12" x14ac:dyDescent="0.25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</row>
    <row r="280" spans="2:12" x14ac:dyDescent="0.25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</row>
    <row r="281" spans="2:12" x14ac:dyDescent="0.25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</row>
    <row r="282" spans="2:12" x14ac:dyDescent="0.25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</row>
    <row r="283" spans="2:12" x14ac:dyDescent="0.25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</row>
    <row r="284" spans="2:12" x14ac:dyDescent="0.25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</row>
    <row r="285" spans="2:12" x14ac:dyDescent="0.25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</row>
    <row r="286" spans="2:12" x14ac:dyDescent="0.25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</row>
    <row r="287" spans="2:12" x14ac:dyDescent="0.25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</row>
    <row r="288" spans="2:12" x14ac:dyDescent="0.25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</row>
    <row r="289" spans="2:12" x14ac:dyDescent="0.25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</row>
    <row r="290" spans="2:12" x14ac:dyDescent="0.25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</row>
    <row r="291" spans="2:12" x14ac:dyDescent="0.25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</row>
    <row r="292" spans="2:12" x14ac:dyDescent="0.25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</row>
    <row r="293" spans="2:12" x14ac:dyDescent="0.25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</row>
    <row r="294" spans="2:12" x14ac:dyDescent="0.25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</row>
    <row r="295" spans="2:12" x14ac:dyDescent="0.25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</row>
    <row r="296" spans="2:12" x14ac:dyDescent="0.25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</row>
    <row r="297" spans="2:12" x14ac:dyDescent="0.25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</row>
    <row r="298" spans="2:12" x14ac:dyDescent="0.25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spans="2:12" x14ac:dyDescent="0.25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</row>
    <row r="300" spans="2:12" x14ac:dyDescent="0.25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</row>
    <row r="301" spans="2:12" x14ac:dyDescent="0.25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</row>
    <row r="302" spans="2:12" x14ac:dyDescent="0.25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</row>
    <row r="303" spans="2:12" x14ac:dyDescent="0.25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</row>
    <row r="304" spans="2:12" x14ac:dyDescent="0.25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</row>
    <row r="305" spans="2:12" x14ac:dyDescent="0.25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</row>
    <row r="306" spans="2:12" x14ac:dyDescent="0.25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</row>
    <row r="307" spans="2:12" x14ac:dyDescent="0.25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</row>
    <row r="308" spans="2:12" x14ac:dyDescent="0.25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</row>
    <row r="309" spans="2:12" x14ac:dyDescent="0.25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</row>
    <row r="310" spans="2:12" x14ac:dyDescent="0.25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</row>
    <row r="311" spans="2:12" x14ac:dyDescent="0.25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</row>
    <row r="312" spans="2:12" x14ac:dyDescent="0.25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</row>
    <row r="313" spans="2:12" x14ac:dyDescent="0.25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</row>
    <row r="314" spans="2:12" x14ac:dyDescent="0.25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</row>
    <row r="315" spans="2:12" x14ac:dyDescent="0.25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</row>
    <row r="316" spans="2:12" x14ac:dyDescent="0.25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</row>
    <row r="317" spans="2:12" x14ac:dyDescent="0.25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</row>
    <row r="318" spans="2:12" x14ac:dyDescent="0.25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</row>
    <row r="319" spans="2:12" x14ac:dyDescent="0.25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</row>
    <row r="320" spans="2:12" x14ac:dyDescent="0.25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</row>
    <row r="321" spans="2:12" x14ac:dyDescent="0.2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</row>
    <row r="322" spans="2:12" x14ac:dyDescent="0.25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</row>
    <row r="323" spans="2:12" x14ac:dyDescent="0.25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</row>
    <row r="324" spans="2:12" x14ac:dyDescent="0.25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</row>
    <row r="325" spans="2:12" x14ac:dyDescent="0.25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</row>
    <row r="326" spans="2:12" x14ac:dyDescent="0.25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</row>
    <row r="327" spans="2:12" x14ac:dyDescent="0.25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</row>
    <row r="328" spans="2:12" x14ac:dyDescent="0.25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</row>
    <row r="329" spans="2:12" x14ac:dyDescent="0.25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</row>
    <row r="330" spans="2:12" x14ac:dyDescent="0.25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</row>
    <row r="331" spans="2:12" x14ac:dyDescent="0.25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</row>
    <row r="332" spans="2:12" x14ac:dyDescent="0.25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</row>
    <row r="333" spans="2:12" x14ac:dyDescent="0.25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</row>
    <row r="334" spans="2:12" x14ac:dyDescent="0.25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</row>
    <row r="335" spans="2:12" x14ac:dyDescent="0.25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</row>
    <row r="336" spans="2:12" x14ac:dyDescent="0.25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</row>
    <row r="337" spans="2:12" x14ac:dyDescent="0.25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</row>
    <row r="338" spans="2:12" x14ac:dyDescent="0.25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</row>
    <row r="339" spans="2:12" x14ac:dyDescent="0.25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</row>
    <row r="340" spans="2:12" x14ac:dyDescent="0.25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</row>
    <row r="341" spans="2:12" x14ac:dyDescent="0.25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</row>
    <row r="342" spans="2:12" x14ac:dyDescent="0.25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</row>
    <row r="343" spans="2:12" x14ac:dyDescent="0.25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</row>
    <row r="344" spans="2:12" x14ac:dyDescent="0.25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</row>
    <row r="345" spans="2:12" x14ac:dyDescent="0.25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</row>
    <row r="346" spans="2:12" x14ac:dyDescent="0.25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</row>
    <row r="347" spans="2:12" x14ac:dyDescent="0.25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</row>
    <row r="348" spans="2:12" x14ac:dyDescent="0.25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</row>
    <row r="349" spans="2:12" x14ac:dyDescent="0.25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</row>
    <row r="350" spans="2:12" x14ac:dyDescent="0.25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</row>
    <row r="351" spans="2:12" x14ac:dyDescent="0.25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</row>
    <row r="352" spans="2:12" x14ac:dyDescent="0.25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</row>
    <row r="353" spans="2:12" x14ac:dyDescent="0.25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</row>
    <row r="354" spans="2:12" x14ac:dyDescent="0.25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</row>
    <row r="355" spans="2:12" x14ac:dyDescent="0.25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</row>
    <row r="356" spans="2:12" x14ac:dyDescent="0.25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</row>
    <row r="357" spans="2:12" x14ac:dyDescent="0.25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</row>
    <row r="358" spans="2:12" x14ac:dyDescent="0.25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</row>
    <row r="359" spans="2:12" x14ac:dyDescent="0.25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</row>
    <row r="360" spans="2:12" x14ac:dyDescent="0.25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</row>
    <row r="361" spans="2:12" x14ac:dyDescent="0.25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</row>
    <row r="362" spans="2:12" x14ac:dyDescent="0.25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</row>
    <row r="363" spans="2:12" x14ac:dyDescent="0.25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</row>
    <row r="364" spans="2:12" x14ac:dyDescent="0.25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</row>
    <row r="365" spans="2:12" x14ac:dyDescent="0.25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</row>
    <row r="366" spans="2:12" x14ac:dyDescent="0.25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</row>
    <row r="367" spans="2:12" x14ac:dyDescent="0.25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</row>
    <row r="368" spans="2:12" x14ac:dyDescent="0.25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</row>
    <row r="369" spans="2:12" x14ac:dyDescent="0.25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</row>
    <row r="370" spans="2:12" x14ac:dyDescent="0.25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</row>
    <row r="371" spans="2:12" x14ac:dyDescent="0.25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</row>
    <row r="372" spans="2:12" x14ac:dyDescent="0.25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</row>
    <row r="373" spans="2:12" x14ac:dyDescent="0.25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</row>
    <row r="374" spans="2:12" x14ac:dyDescent="0.25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</row>
    <row r="375" spans="2:12" x14ac:dyDescent="0.25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</row>
    <row r="376" spans="2:12" x14ac:dyDescent="0.25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</row>
    <row r="377" spans="2:12" x14ac:dyDescent="0.25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</row>
    <row r="378" spans="2:12" x14ac:dyDescent="0.25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</row>
    <row r="379" spans="2:12" x14ac:dyDescent="0.25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</row>
    <row r="380" spans="2:12" x14ac:dyDescent="0.25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</row>
    <row r="381" spans="2:12" x14ac:dyDescent="0.25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</row>
    <row r="382" spans="2:12" x14ac:dyDescent="0.25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spans="2:12" x14ac:dyDescent="0.25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</row>
    <row r="384" spans="2:12" x14ac:dyDescent="0.25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</row>
    <row r="385" spans="2:12" x14ac:dyDescent="0.25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</row>
    <row r="386" spans="2:12" x14ac:dyDescent="0.25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</row>
    <row r="387" spans="2:12" x14ac:dyDescent="0.25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</row>
    <row r="388" spans="2:12" x14ac:dyDescent="0.25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</row>
    <row r="389" spans="2:12" x14ac:dyDescent="0.25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</row>
    <row r="390" spans="2:12" x14ac:dyDescent="0.25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</row>
    <row r="391" spans="2:12" x14ac:dyDescent="0.25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</row>
    <row r="392" spans="2:12" x14ac:dyDescent="0.25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</row>
    <row r="393" spans="2:12" x14ac:dyDescent="0.25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</row>
    <row r="394" spans="2:12" x14ac:dyDescent="0.25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</row>
    <row r="395" spans="2:12" x14ac:dyDescent="0.25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</row>
    <row r="396" spans="2:12" x14ac:dyDescent="0.25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</row>
    <row r="397" spans="2:12" x14ac:dyDescent="0.25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</row>
    <row r="398" spans="2:12" x14ac:dyDescent="0.25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</row>
    <row r="399" spans="2:12" x14ac:dyDescent="0.25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</row>
    <row r="400" spans="2:12" x14ac:dyDescent="0.25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</row>
    <row r="401" spans="2:12" x14ac:dyDescent="0.25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</row>
    <row r="402" spans="2:12" x14ac:dyDescent="0.25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</row>
    <row r="403" spans="2:12" x14ac:dyDescent="0.25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</row>
    <row r="404" spans="2:12" x14ac:dyDescent="0.25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</row>
    <row r="405" spans="2:12" x14ac:dyDescent="0.25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</row>
    <row r="406" spans="2:12" x14ac:dyDescent="0.25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</row>
    <row r="407" spans="2:12" x14ac:dyDescent="0.25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</row>
    <row r="408" spans="2:12" x14ac:dyDescent="0.25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</row>
    <row r="409" spans="2:12" x14ac:dyDescent="0.25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</row>
    <row r="410" spans="2:12" x14ac:dyDescent="0.25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</row>
    <row r="411" spans="2:12" x14ac:dyDescent="0.25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</row>
    <row r="412" spans="2:12" x14ac:dyDescent="0.25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</row>
    <row r="413" spans="2:12" x14ac:dyDescent="0.25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</row>
    <row r="414" spans="2:12" x14ac:dyDescent="0.25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</row>
    <row r="415" spans="2:12" x14ac:dyDescent="0.25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</row>
    <row r="416" spans="2:12" x14ac:dyDescent="0.25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</row>
    <row r="417" spans="2:12" x14ac:dyDescent="0.25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</row>
    <row r="418" spans="2:12" x14ac:dyDescent="0.25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</row>
    <row r="419" spans="2:12" x14ac:dyDescent="0.25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</row>
    <row r="420" spans="2:12" x14ac:dyDescent="0.25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</row>
    <row r="421" spans="2:12" x14ac:dyDescent="0.25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</row>
    <row r="422" spans="2:12" x14ac:dyDescent="0.25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</row>
    <row r="423" spans="2:12" x14ac:dyDescent="0.25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</row>
    <row r="424" spans="2:12" x14ac:dyDescent="0.25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</row>
    <row r="425" spans="2:12" x14ac:dyDescent="0.25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</row>
    <row r="426" spans="2:12" x14ac:dyDescent="0.25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</row>
    <row r="427" spans="2:12" x14ac:dyDescent="0.25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</row>
    <row r="428" spans="2:12" x14ac:dyDescent="0.25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</row>
    <row r="429" spans="2:12" x14ac:dyDescent="0.25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</row>
    <row r="430" spans="2:12" x14ac:dyDescent="0.25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</row>
    <row r="431" spans="2:12" x14ac:dyDescent="0.25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</row>
    <row r="432" spans="2:12" x14ac:dyDescent="0.25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spans="2:12" x14ac:dyDescent="0.25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</row>
    <row r="434" spans="2:12" x14ac:dyDescent="0.25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spans="2:12" x14ac:dyDescent="0.25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</row>
    <row r="436" spans="2:12" x14ac:dyDescent="0.25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</row>
    <row r="437" spans="2:12" x14ac:dyDescent="0.25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</row>
    <row r="438" spans="2:12" x14ac:dyDescent="0.25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</row>
    <row r="439" spans="2:12" x14ac:dyDescent="0.25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</row>
    <row r="440" spans="2:12" x14ac:dyDescent="0.25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</row>
    <row r="441" spans="2:12" x14ac:dyDescent="0.25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</row>
    <row r="442" spans="2:12" x14ac:dyDescent="0.25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</row>
    <row r="443" spans="2:12" x14ac:dyDescent="0.25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</row>
    <row r="444" spans="2:12" x14ac:dyDescent="0.25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</row>
    <row r="445" spans="2:12" x14ac:dyDescent="0.25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spans="2:12" x14ac:dyDescent="0.25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</row>
    <row r="447" spans="2:12" x14ac:dyDescent="0.25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</row>
    <row r="448" spans="2:12" x14ac:dyDescent="0.25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</row>
    <row r="449" spans="2:12" x14ac:dyDescent="0.25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</row>
    <row r="450" spans="2:12" x14ac:dyDescent="0.25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</row>
    <row r="451" spans="2:12" x14ac:dyDescent="0.25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</row>
    <row r="452" spans="2:12" x14ac:dyDescent="0.25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</row>
    <row r="453" spans="2:12" x14ac:dyDescent="0.25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</row>
    <row r="454" spans="2:12" x14ac:dyDescent="0.25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</row>
    <row r="455" spans="2:12" x14ac:dyDescent="0.25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</row>
    <row r="456" spans="2:12" x14ac:dyDescent="0.25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</row>
    <row r="457" spans="2:12" x14ac:dyDescent="0.25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</row>
    <row r="458" spans="2:12" x14ac:dyDescent="0.25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</row>
    <row r="459" spans="2:12" x14ac:dyDescent="0.25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</row>
    <row r="460" spans="2:12" x14ac:dyDescent="0.25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</row>
    <row r="461" spans="2:12" x14ac:dyDescent="0.25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</row>
    <row r="462" spans="2:12" x14ac:dyDescent="0.25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spans="2:12" x14ac:dyDescent="0.25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</row>
    <row r="464" spans="2:12" x14ac:dyDescent="0.25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</row>
    <row r="465" spans="2:12" x14ac:dyDescent="0.25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</row>
    <row r="466" spans="2:12" x14ac:dyDescent="0.25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</row>
    <row r="467" spans="2:12" x14ac:dyDescent="0.25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</row>
    <row r="468" spans="2:12" x14ac:dyDescent="0.25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</row>
    <row r="469" spans="2:12" x14ac:dyDescent="0.25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</row>
    <row r="470" spans="2:12" x14ac:dyDescent="0.25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</row>
    <row r="471" spans="2:12" x14ac:dyDescent="0.25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</row>
    <row r="472" spans="2:12" x14ac:dyDescent="0.25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</row>
    <row r="473" spans="2:12" x14ac:dyDescent="0.25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spans="2:12" x14ac:dyDescent="0.25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</row>
    <row r="475" spans="2:12" x14ac:dyDescent="0.25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</row>
    <row r="476" spans="2:12" x14ac:dyDescent="0.25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</row>
    <row r="477" spans="2:12" x14ac:dyDescent="0.25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</row>
    <row r="478" spans="2:12" x14ac:dyDescent="0.25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</row>
    <row r="479" spans="2:12" x14ac:dyDescent="0.25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</row>
    <row r="480" spans="2:12" x14ac:dyDescent="0.25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</row>
    <row r="481" spans="2:12" x14ac:dyDescent="0.25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</row>
    <row r="482" spans="2:12" x14ac:dyDescent="0.25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</row>
    <row r="483" spans="2:12" x14ac:dyDescent="0.25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</row>
    <row r="484" spans="2:12" x14ac:dyDescent="0.25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</row>
    <row r="485" spans="2:12" x14ac:dyDescent="0.25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spans="2:12" x14ac:dyDescent="0.25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</row>
    <row r="487" spans="2:12" x14ac:dyDescent="0.25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</row>
    <row r="488" spans="2:12" x14ac:dyDescent="0.25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</row>
    <row r="489" spans="2:12" x14ac:dyDescent="0.25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</row>
    <row r="490" spans="2:12" x14ac:dyDescent="0.25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</row>
    <row r="491" spans="2:12" x14ac:dyDescent="0.25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</row>
    <row r="492" spans="2:12" x14ac:dyDescent="0.25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</row>
    <row r="493" spans="2:12" x14ac:dyDescent="0.25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</row>
    <row r="494" spans="2:12" x14ac:dyDescent="0.25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</row>
    <row r="495" spans="2:12" x14ac:dyDescent="0.25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</row>
    <row r="496" spans="2:12" x14ac:dyDescent="0.25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</row>
    <row r="497" spans="2:12" x14ac:dyDescent="0.25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</row>
    <row r="498" spans="2:12" x14ac:dyDescent="0.25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spans="2:12" x14ac:dyDescent="0.25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</row>
    <row r="500" spans="2:12" x14ac:dyDescent="0.25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</row>
    <row r="501" spans="2:12" x14ac:dyDescent="0.25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</row>
    <row r="502" spans="2:12" x14ac:dyDescent="0.25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</row>
    <row r="503" spans="2:12" x14ac:dyDescent="0.25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</row>
    <row r="504" spans="2:12" x14ac:dyDescent="0.25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</row>
    <row r="505" spans="2:12" x14ac:dyDescent="0.25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</row>
    <row r="506" spans="2:12" x14ac:dyDescent="0.25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</row>
    <row r="507" spans="2:12" x14ac:dyDescent="0.25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</row>
    <row r="508" spans="2:12" x14ac:dyDescent="0.25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</row>
    <row r="509" spans="2:12" x14ac:dyDescent="0.25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</row>
    <row r="510" spans="2:12" x14ac:dyDescent="0.25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</row>
    <row r="511" spans="2:12" x14ac:dyDescent="0.25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</row>
    <row r="512" spans="2:12" x14ac:dyDescent="0.25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</row>
    <row r="513" spans="2:12" x14ac:dyDescent="0.25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</row>
    <row r="514" spans="2:12" x14ac:dyDescent="0.25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</row>
    <row r="515" spans="2:12" x14ac:dyDescent="0.25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</row>
    <row r="516" spans="2:12" x14ac:dyDescent="0.25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</row>
    <row r="517" spans="2:12" x14ac:dyDescent="0.25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</row>
    <row r="518" spans="2:12" x14ac:dyDescent="0.25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</row>
    <row r="519" spans="2:12" x14ac:dyDescent="0.25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</row>
    <row r="520" spans="2:12" x14ac:dyDescent="0.25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</row>
    <row r="521" spans="2:12" x14ac:dyDescent="0.25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</row>
    <row r="522" spans="2:12" x14ac:dyDescent="0.25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</row>
    <row r="523" spans="2:12" x14ac:dyDescent="0.25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</row>
    <row r="524" spans="2:12" x14ac:dyDescent="0.25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</row>
    <row r="525" spans="2:12" x14ac:dyDescent="0.25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</row>
    <row r="526" spans="2:12" x14ac:dyDescent="0.25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</row>
    <row r="527" spans="2:12" x14ac:dyDescent="0.25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</row>
    <row r="528" spans="2:12" x14ac:dyDescent="0.25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</row>
    <row r="529" spans="2:12" x14ac:dyDescent="0.25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</row>
    <row r="530" spans="2:12" x14ac:dyDescent="0.25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</row>
    <row r="531" spans="2:12" x14ac:dyDescent="0.25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</row>
    <row r="532" spans="2:12" x14ac:dyDescent="0.25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</row>
    <row r="533" spans="2:12" x14ac:dyDescent="0.25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</row>
    <row r="534" spans="2:12" x14ac:dyDescent="0.25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</row>
    <row r="535" spans="2:12" x14ac:dyDescent="0.25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</row>
    <row r="536" spans="2:12" x14ac:dyDescent="0.25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</row>
    <row r="537" spans="2:12" x14ac:dyDescent="0.25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</row>
    <row r="538" spans="2:12" x14ac:dyDescent="0.25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</row>
    <row r="539" spans="2:12" x14ac:dyDescent="0.25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</row>
    <row r="540" spans="2:12" x14ac:dyDescent="0.25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</row>
    <row r="541" spans="2:12" x14ac:dyDescent="0.25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</row>
    <row r="542" spans="2:12" x14ac:dyDescent="0.25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</row>
    <row r="543" spans="2:12" x14ac:dyDescent="0.25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</row>
    <row r="544" spans="2:12" x14ac:dyDescent="0.25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</row>
    <row r="545" spans="2:12" x14ac:dyDescent="0.25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</row>
    <row r="546" spans="2:12" x14ac:dyDescent="0.25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</row>
    <row r="547" spans="2:12" x14ac:dyDescent="0.25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</row>
    <row r="548" spans="2:12" x14ac:dyDescent="0.25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</row>
    <row r="549" spans="2:12" x14ac:dyDescent="0.25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</row>
    <row r="550" spans="2:12" x14ac:dyDescent="0.25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</row>
    <row r="551" spans="2:12" x14ac:dyDescent="0.25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</row>
    <row r="552" spans="2:12" x14ac:dyDescent="0.25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</row>
    <row r="553" spans="2:12" x14ac:dyDescent="0.25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</row>
    <row r="554" spans="2:12" x14ac:dyDescent="0.25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</row>
    <row r="555" spans="2:12" x14ac:dyDescent="0.25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</row>
    <row r="556" spans="2:12" x14ac:dyDescent="0.25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</row>
    <row r="557" spans="2:12" x14ac:dyDescent="0.25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</row>
    <row r="558" spans="2:12" x14ac:dyDescent="0.25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</row>
    <row r="559" spans="2:12" x14ac:dyDescent="0.25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</row>
    <row r="560" spans="2:12" x14ac:dyDescent="0.25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</row>
    <row r="561" spans="2:12" x14ac:dyDescent="0.25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</row>
    <row r="562" spans="2:12" x14ac:dyDescent="0.25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</row>
    <row r="563" spans="2:12" x14ac:dyDescent="0.25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</row>
    <row r="564" spans="2:12" x14ac:dyDescent="0.25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</row>
    <row r="565" spans="2:12" x14ac:dyDescent="0.25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</row>
    <row r="566" spans="2:12" x14ac:dyDescent="0.25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</row>
    <row r="567" spans="2:12" x14ac:dyDescent="0.25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</row>
    <row r="568" spans="2:12" x14ac:dyDescent="0.25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</row>
    <row r="569" spans="2:12" x14ac:dyDescent="0.25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</row>
    <row r="570" spans="2:12" x14ac:dyDescent="0.25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</row>
    <row r="571" spans="2:12" x14ac:dyDescent="0.25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</row>
    <row r="572" spans="2:12" x14ac:dyDescent="0.25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</row>
    <row r="573" spans="2:12" x14ac:dyDescent="0.25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</row>
    <row r="574" spans="2:12" x14ac:dyDescent="0.25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</row>
    <row r="575" spans="2:12" x14ac:dyDescent="0.25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</row>
    <row r="576" spans="2:12" x14ac:dyDescent="0.25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</row>
    <row r="577" spans="2:12" x14ac:dyDescent="0.25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</row>
    <row r="578" spans="2:12" x14ac:dyDescent="0.25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</row>
    <row r="579" spans="2:12" x14ac:dyDescent="0.25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</row>
    <row r="580" spans="2:12" x14ac:dyDescent="0.25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</row>
    <row r="581" spans="2:12" x14ac:dyDescent="0.25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</row>
    <row r="582" spans="2:12" x14ac:dyDescent="0.25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</row>
    <row r="583" spans="2:12" x14ac:dyDescent="0.25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</row>
    <row r="584" spans="2:12" x14ac:dyDescent="0.25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</row>
    <row r="585" spans="2:12" x14ac:dyDescent="0.25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</row>
    <row r="586" spans="2:12" x14ac:dyDescent="0.25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</row>
    <row r="587" spans="2:12" x14ac:dyDescent="0.25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</row>
    <row r="588" spans="2:12" x14ac:dyDescent="0.25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</row>
    <row r="589" spans="2:12" x14ac:dyDescent="0.25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</row>
    <row r="590" spans="2:12" x14ac:dyDescent="0.25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</row>
    <row r="591" spans="2:12" x14ac:dyDescent="0.25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</row>
    <row r="592" spans="2:12" x14ac:dyDescent="0.25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</row>
    <row r="593" spans="2:12" x14ac:dyDescent="0.25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</row>
    <row r="594" spans="2:12" x14ac:dyDescent="0.25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</row>
    <row r="595" spans="2:12" x14ac:dyDescent="0.25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</row>
    <row r="596" spans="2:12" x14ac:dyDescent="0.25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</row>
    <row r="597" spans="2:12" x14ac:dyDescent="0.25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</row>
    <row r="598" spans="2:12" x14ac:dyDescent="0.25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</row>
    <row r="599" spans="2:12" x14ac:dyDescent="0.25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</row>
    <row r="600" spans="2:12" x14ac:dyDescent="0.25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</row>
    <row r="601" spans="2:12" x14ac:dyDescent="0.25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</row>
    <row r="602" spans="2:12" x14ac:dyDescent="0.25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spans="2:12" x14ac:dyDescent="0.25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</row>
    <row r="604" spans="2:12" x14ac:dyDescent="0.25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</row>
    <row r="605" spans="2:12" x14ac:dyDescent="0.25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</row>
    <row r="606" spans="2:12" x14ac:dyDescent="0.25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</row>
    <row r="607" spans="2:12" x14ac:dyDescent="0.25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</row>
    <row r="608" spans="2:12" x14ac:dyDescent="0.25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</row>
    <row r="609" spans="2:12" x14ac:dyDescent="0.25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</row>
    <row r="610" spans="2:12" x14ac:dyDescent="0.25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</row>
    <row r="611" spans="2:12" x14ac:dyDescent="0.25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spans="2:12" x14ac:dyDescent="0.25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</row>
    <row r="613" spans="2:12" x14ac:dyDescent="0.25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spans="2:12" x14ac:dyDescent="0.25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</row>
    <row r="615" spans="2:12" x14ac:dyDescent="0.25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</row>
    <row r="616" spans="2:12" x14ac:dyDescent="0.25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spans="2:12" x14ac:dyDescent="0.25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</row>
    <row r="618" spans="2:12" x14ac:dyDescent="0.25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</row>
    <row r="619" spans="2:12" x14ac:dyDescent="0.25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</row>
    <row r="620" spans="2:12" x14ac:dyDescent="0.25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</row>
    <row r="621" spans="2:12" x14ac:dyDescent="0.25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</row>
    <row r="622" spans="2:12" x14ac:dyDescent="0.25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</row>
    <row r="623" spans="2:12" x14ac:dyDescent="0.25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</row>
    <row r="624" spans="2:12" x14ac:dyDescent="0.25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</row>
    <row r="625" spans="2:12" x14ac:dyDescent="0.25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</row>
    <row r="626" spans="2:12" x14ac:dyDescent="0.25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</row>
    <row r="627" spans="2:12" x14ac:dyDescent="0.25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</row>
    <row r="628" spans="2:12" x14ac:dyDescent="0.25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</row>
    <row r="629" spans="2:12" x14ac:dyDescent="0.25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</row>
    <row r="630" spans="2:12" x14ac:dyDescent="0.25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</row>
    <row r="631" spans="2:12" x14ac:dyDescent="0.25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</row>
  </sheetData>
  <mergeCells count="2">
    <mergeCell ref="B1:G1"/>
    <mergeCell ref="H1:L1"/>
  </mergeCells>
  <pageMargins left="0.23" right="0.22" top="0.27" bottom="0.26" header="0.23" footer="0.17"/>
  <pageSetup scale="92" fitToHeight="0" orientation="landscape" r:id="rId1"/>
  <rowBreaks count="2" manualBreakCount="2">
    <brk id="46" max="16383" man="1"/>
    <brk id="10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255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21" sqref="J21"/>
    </sheetView>
  </sheetViews>
  <sheetFormatPr defaultRowHeight="15" x14ac:dyDescent="0.25"/>
  <cols>
    <col min="1" max="1" width="31.7109375" customWidth="1"/>
    <col min="2" max="4" width="9.28515625" style="1" bestFit="1" customWidth="1"/>
    <col min="5" max="5" width="11.42578125" style="1" customWidth="1"/>
    <col min="6" max="6" width="9.5703125" style="1" customWidth="1"/>
    <col min="7" max="7" width="9.28515625" style="1" bestFit="1" customWidth="1"/>
    <col min="8" max="12" width="9.7109375" customWidth="1"/>
    <col min="13" max="13" width="9.85546875" bestFit="1" customWidth="1"/>
  </cols>
  <sheetData>
    <row r="1" spans="1:13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3" s="2" customFormat="1" ht="16.5" customHeight="1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3" s="2" customFormat="1" ht="7.9" customHeight="1" x14ac:dyDescent="0.25">
      <c r="A3" s="3"/>
      <c r="B3" s="13"/>
      <c r="C3" s="13"/>
      <c r="D3" s="13"/>
      <c r="E3" s="13"/>
      <c r="F3" s="13"/>
      <c r="G3" s="13"/>
      <c r="H3" s="33"/>
      <c r="I3" s="33"/>
      <c r="J3" s="33"/>
      <c r="K3" s="33"/>
      <c r="L3" s="33"/>
    </row>
    <row r="4" spans="1:13" ht="30" x14ac:dyDescent="0.25">
      <c r="A4" s="47" t="s">
        <v>296</v>
      </c>
      <c r="B4" s="25"/>
      <c r="C4" s="25"/>
      <c r="D4" s="12"/>
      <c r="E4" s="25"/>
      <c r="F4" s="25"/>
      <c r="G4" s="25"/>
      <c r="H4" s="290">
        <f>Financials!H75-Financials!H73</f>
        <v>19951.318849741969</v>
      </c>
      <c r="I4" s="290">
        <f>Financials!I75-Financials!I73</f>
        <v>22113.823693573235</v>
      </c>
      <c r="J4" s="290">
        <f>Financials!J75-Financials!J73</f>
        <v>24522.507487927542</v>
      </c>
      <c r="K4" s="290">
        <f>Financials!K75-Financials!K73</f>
        <v>26612.295208716387</v>
      </c>
      <c r="L4" s="290">
        <f>Financials!L75-Financials!L73</f>
        <v>28429.108853956583</v>
      </c>
      <c r="M4" s="25"/>
    </row>
    <row r="5" spans="1:13" x14ac:dyDescent="0.25">
      <c r="A5" t="s">
        <v>297</v>
      </c>
      <c r="B5" s="25"/>
      <c r="C5" s="25"/>
      <c r="D5" s="12"/>
      <c r="E5" s="25"/>
      <c r="F5" s="25"/>
      <c r="G5" s="25"/>
      <c r="H5" s="291">
        <f>Expenses!H22</f>
        <v>0.2397</v>
      </c>
      <c r="I5" s="291">
        <f>Expenses!I22</f>
        <v>0.2397</v>
      </c>
      <c r="J5" s="291">
        <f>Expenses!J22</f>
        <v>0.2397</v>
      </c>
      <c r="K5" s="291">
        <f>Expenses!K22</f>
        <v>0.2397</v>
      </c>
      <c r="L5" s="291">
        <f>Expenses!L22</f>
        <v>0.2397</v>
      </c>
      <c r="M5" s="25"/>
    </row>
    <row r="6" spans="1:13" x14ac:dyDescent="0.25">
      <c r="A6" t="s">
        <v>298</v>
      </c>
      <c r="B6" s="25"/>
      <c r="C6" s="25"/>
      <c r="D6" s="12"/>
      <c r="E6" s="25"/>
      <c r="F6" s="25"/>
      <c r="G6" s="25"/>
      <c r="H6" s="292">
        <f>H4*H5</f>
        <v>4782.3311282831501</v>
      </c>
      <c r="I6" s="292">
        <f t="shared" ref="I6:L6" si="0">I4*I5</f>
        <v>5300.6835393495039</v>
      </c>
      <c r="J6" s="292">
        <f t="shared" si="0"/>
        <v>5878.0450448562315</v>
      </c>
      <c r="K6" s="292">
        <f t="shared" si="0"/>
        <v>6378.9671615293182</v>
      </c>
      <c r="L6" s="292">
        <f t="shared" si="0"/>
        <v>6814.4573922933923</v>
      </c>
      <c r="M6" s="25"/>
    </row>
    <row r="7" spans="1:13" x14ac:dyDescent="0.25">
      <c r="A7" t="s">
        <v>299</v>
      </c>
      <c r="B7" s="25"/>
      <c r="C7" s="25"/>
      <c r="D7" s="12"/>
      <c r="E7" s="25"/>
      <c r="F7" s="25"/>
      <c r="G7" s="25"/>
      <c r="H7" s="290">
        <f>H4-H6</f>
        <v>15168.98772145882</v>
      </c>
      <c r="I7" s="290">
        <f t="shared" ref="I7:L7" si="1">I4-I6</f>
        <v>16813.140154223729</v>
      </c>
      <c r="J7" s="290">
        <f t="shared" si="1"/>
        <v>18644.462443071308</v>
      </c>
      <c r="K7" s="290">
        <f t="shared" si="1"/>
        <v>20233.328047187068</v>
      </c>
      <c r="L7" s="290">
        <f t="shared" si="1"/>
        <v>21614.65146166319</v>
      </c>
      <c r="M7" s="25"/>
    </row>
    <row r="8" spans="1:13" x14ac:dyDescent="0.25">
      <c r="B8" s="25"/>
      <c r="C8" s="25"/>
      <c r="D8" s="12"/>
      <c r="E8" s="25"/>
      <c r="F8" s="25"/>
      <c r="G8" s="25"/>
      <c r="H8" s="290"/>
      <c r="I8" s="290"/>
      <c r="J8" s="290"/>
      <c r="K8" s="290"/>
      <c r="L8" s="290"/>
      <c r="M8" s="25"/>
    </row>
    <row r="9" spans="1:13" x14ac:dyDescent="0.25">
      <c r="A9" t="s">
        <v>300</v>
      </c>
      <c r="B9" s="25"/>
      <c r="C9" s="25"/>
      <c r="D9" s="12"/>
      <c r="E9" s="25"/>
      <c r="F9" s="25"/>
      <c r="G9" s="25"/>
      <c r="H9" s="290">
        <f>Financials!H110+Financials!H112</f>
        <v>-3593.303109797836</v>
      </c>
      <c r="I9" s="290">
        <f>Financials!I110+Financials!I112</f>
        <v>-3865.9685453207967</v>
      </c>
      <c r="J9" s="290">
        <f>Financials!J110+Financials!J112</f>
        <v>-4159.9455419602964</v>
      </c>
      <c r="K9" s="290">
        <f>Financials!K110+Financials!K112</f>
        <v>-4476.9582751591706</v>
      </c>
      <c r="L9" s="290">
        <f>Financials!L110+Financials!L112</f>
        <v>-4818.8746685874503</v>
      </c>
      <c r="M9" s="25"/>
    </row>
    <row r="10" spans="1:13" x14ac:dyDescent="0.25">
      <c r="B10" s="25"/>
      <c r="C10" s="25"/>
      <c r="D10" s="12"/>
      <c r="E10" s="25"/>
      <c r="F10" s="25"/>
      <c r="G10" s="25"/>
      <c r="H10" s="290"/>
      <c r="I10" s="290"/>
      <c r="J10" s="290"/>
      <c r="K10" s="290"/>
      <c r="L10" s="290"/>
      <c r="M10" s="25"/>
    </row>
    <row r="11" spans="1:13" x14ac:dyDescent="0.25">
      <c r="A11" t="s">
        <v>301</v>
      </c>
      <c r="B11" s="25"/>
      <c r="C11" s="25"/>
      <c r="D11" s="12"/>
      <c r="E11" s="25"/>
      <c r="F11" s="25"/>
      <c r="G11" s="25"/>
      <c r="H11" s="290">
        <f>Financials!H89+Financials!H90</f>
        <v>3652.0555555555557</v>
      </c>
      <c r="I11" s="290">
        <f>Financials!I89+Financials!I90</f>
        <v>3851.6835060998801</v>
      </c>
      <c r="J11" s="290">
        <f>Financials!J89+Financials!J90</f>
        <v>4058.4595363954795</v>
      </c>
      <c r="K11" s="290">
        <f>Financials!K89+Financials!K90</f>
        <v>4272.5676220599398</v>
      </c>
      <c r="L11" s="290">
        <f>Financials!L89+Financials!L90</f>
        <v>4479.2875262354491</v>
      </c>
      <c r="M11" s="25"/>
    </row>
    <row r="12" spans="1:13" x14ac:dyDescent="0.25">
      <c r="B12" s="25"/>
      <c r="C12" s="25"/>
      <c r="D12" s="12"/>
      <c r="E12" s="25"/>
      <c r="F12" s="25"/>
      <c r="G12" s="25"/>
      <c r="H12" s="290"/>
      <c r="I12" s="290"/>
      <c r="J12" s="290"/>
      <c r="K12" s="290"/>
      <c r="L12" s="290"/>
      <c r="M12" s="25"/>
    </row>
    <row r="13" spans="1:13" x14ac:dyDescent="0.25">
      <c r="A13" t="s">
        <v>302</v>
      </c>
      <c r="B13" s="25"/>
      <c r="C13" s="25"/>
      <c r="D13" s="12"/>
      <c r="E13" s="25"/>
      <c r="F13" s="25"/>
      <c r="G13" s="25"/>
      <c r="H13" s="290">
        <f>'Long Term Asset &amp; Liab'!H32</f>
        <v>0</v>
      </c>
      <c r="I13" s="290">
        <f>'Long Term Asset &amp; Liab'!I32</f>
        <v>0</v>
      </c>
      <c r="J13" s="290">
        <f>'Long Term Asset &amp; Liab'!J32</f>
        <v>0</v>
      </c>
      <c r="K13" s="290">
        <f>'Long Term Asset &amp; Liab'!K32</f>
        <v>0</v>
      </c>
      <c r="L13" s="290">
        <f>'Long Term Asset &amp; Liab'!L32</f>
        <v>0</v>
      </c>
      <c r="M13" s="25"/>
    </row>
    <row r="14" spans="1:13" x14ac:dyDescent="0.25">
      <c r="B14" s="25"/>
      <c r="C14" s="25"/>
      <c r="D14" s="12"/>
      <c r="E14" s="25"/>
      <c r="F14" s="25"/>
      <c r="G14" s="25"/>
      <c r="H14" s="290"/>
      <c r="I14" s="290"/>
      <c r="J14" s="290"/>
      <c r="K14" s="290"/>
      <c r="L14" s="290"/>
      <c r="M14" s="25"/>
    </row>
    <row r="15" spans="1:13" ht="30" x14ac:dyDescent="0.25">
      <c r="A15" s="47" t="s">
        <v>303</v>
      </c>
      <c r="B15" s="25"/>
      <c r="C15" s="25"/>
      <c r="D15" s="25"/>
      <c r="E15" s="25"/>
      <c r="F15" s="25"/>
      <c r="G15" s="25"/>
      <c r="H15" s="292">
        <f>SUM(Financials!H94:H105)</f>
        <v>2624.4056016920217</v>
      </c>
      <c r="I15" s="292">
        <f>SUM(Financials!I94:I105)</f>
        <v>-182.23753447537513</v>
      </c>
      <c r="J15" s="292">
        <f>SUM(Financials!J94:J105)</f>
        <v>-193.10848567024482</v>
      </c>
      <c r="K15" s="292">
        <f>SUM(Financials!K94:K105)</f>
        <v>-208.37643827798911</v>
      </c>
      <c r="L15" s="292">
        <f>SUM(Financials!L94:L105)</f>
        <v>-223.55983537756163</v>
      </c>
      <c r="M15" s="25"/>
    </row>
    <row r="16" spans="1:13" x14ac:dyDescent="0.25">
      <c r="B16" s="25"/>
      <c r="C16" s="25"/>
      <c r="D16" s="12"/>
      <c r="E16" s="25"/>
      <c r="F16" s="25"/>
      <c r="G16" s="25"/>
      <c r="H16" s="290"/>
      <c r="I16" s="290"/>
      <c r="J16" s="290"/>
      <c r="K16" s="290"/>
      <c r="L16" s="290"/>
      <c r="M16" s="25"/>
    </row>
    <row r="17" spans="1:13" x14ac:dyDescent="0.25">
      <c r="A17" t="s">
        <v>304</v>
      </c>
      <c r="B17" s="25"/>
      <c r="C17" s="25"/>
      <c r="D17" s="12"/>
      <c r="E17" s="25"/>
      <c r="F17" s="25"/>
      <c r="G17" s="25"/>
      <c r="H17" s="290">
        <f>SUM(H7:H15)</f>
        <v>17852.145768908562</v>
      </c>
      <c r="I17" s="290">
        <f t="shared" ref="I17:L17" si="2">SUM(I7:I15)</f>
        <v>16616.61758052744</v>
      </c>
      <c r="J17" s="290">
        <f t="shared" si="2"/>
        <v>18349.867951836248</v>
      </c>
      <c r="K17" s="290">
        <f t="shared" si="2"/>
        <v>19820.560955809848</v>
      </c>
      <c r="L17" s="290">
        <f t="shared" si="2"/>
        <v>21051.50448393363</v>
      </c>
      <c r="M17" s="25"/>
    </row>
    <row r="18" spans="1:13" x14ac:dyDescent="0.25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 spans="1:13" x14ac:dyDescent="0.2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60"/>
    </row>
    <row r="20" spans="1:13" x14ac:dyDescent="0.2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60"/>
    </row>
    <row r="21" spans="1:13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spans="1:13" x14ac:dyDescent="0.2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 spans="1:13" x14ac:dyDescent="0.2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219"/>
    </row>
    <row r="24" spans="1:13" x14ac:dyDescent="0.2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219"/>
    </row>
    <row r="25" spans="1:13" x14ac:dyDescent="0.2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spans="1:13" x14ac:dyDescent="0.2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</row>
    <row r="27" spans="1:13" x14ac:dyDescent="0.2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spans="1:13" x14ac:dyDescent="0.25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</row>
    <row r="29" spans="1:13" x14ac:dyDescent="0.25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spans="1:13" x14ac:dyDescent="0.25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3" x14ac:dyDescent="0.2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3" x14ac:dyDescent="0.25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2:12" x14ac:dyDescent="0.25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2:12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2:12" x14ac:dyDescent="0.2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2:12" x14ac:dyDescent="0.25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2:12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2:12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2:12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2:12" x14ac:dyDescent="0.25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2:12" x14ac:dyDescent="0.25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2:12" x14ac:dyDescent="0.25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2:12" x14ac:dyDescent="0.2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2:12" x14ac:dyDescent="0.25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2:12" x14ac:dyDescent="0.25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2:12" x14ac:dyDescent="0.25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2:12" x14ac:dyDescent="0.25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2:12" x14ac:dyDescent="0.25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2:12" x14ac:dyDescent="0.25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2:12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2:12" x14ac:dyDescent="0.2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2:12" x14ac:dyDescent="0.2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2:12" x14ac:dyDescent="0.2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spans="2:12" x14ac:dyDescent="0.2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</row>
    <row r="55" spans="2:12" x14ac:dyDescent="0.2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</row>
    <row r="56" spans="2:12" x14ac:dyDescent="0.2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spans="2:12" x14ac:dyDescent="0.2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2:12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2:12" x14ac:dyDescent="0.2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2:12" x14ac:dyDescent="0.2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2:12" x14ac:dyDescent="0.2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2:12" x14ac:dyDescent="0.2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2:12" x14ac:dyDescent="0.2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2:12" x14ac:dyDescent="0.2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2:12" x14ac:dyDescent="0.2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2:12" x14ac:dyDescent="0.25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2:12" x14ac:dyDescent="0.25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2:12" x14ac:dyDescent="0.25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2:12" x14ac:dyDescent="0.25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2:12" x14ac:dyDescent="0.25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2:12" x14ac:dyDescent="0.25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2:12" x14ac:dyDescent="0.25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2:12" x14ac:dyDescent="0.25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2:12" x14ac:dyDescent="0.25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2:12" x14ac:dyDescent="0.25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2:12" x14ac:dyDescent="0.25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2:12" x14ac:dyDescent="0.25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2:12" x14ac:dyDescent="0.25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2:12" x14ac:dyDescent="0.25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2:12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2:12" x14ac:dyDescent="0.25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2:12" x14ac:dyDescent="0.25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2:12" x14ac:dyDescent="0.25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2:12" x14ac:dyDescent="0.25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2:12" x14ac:dyDescent="0.25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2:12" x14ac:dyDescent="0.25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2:12" x14ac:dyDescent="0.25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2:12" x14ac:dyDescent="0.25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2:12" x14ac:dyDescent="0.25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2:12" x14ac:dyDescent="0.25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2:12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2:12" x14ac:dyDescent="0.25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2:12" x14ac:dyDescent="0.25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2:12" x14ac:dyDescent="0.25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2:12" x14ac:dyDescent="0.25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2:12" x14ac:dyDescent="0.25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2:12" x14ac:dyDescent="0.25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2:12" x14ac:dyDescent="0.25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2:12" x14ac:dyDescent="0.25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2:12" x14ac:dyDescent="0.25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2:12" x14ac:dyDescent="0.25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2:12" x14ac:dyDescent="0.25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2:12" x14ac:dyDescent="0.25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2:12" x14ac:dyDescent="0.25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2:12" x14ac:dyDescent="0.25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2:12" x14ac:dyDescent="0.25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2:12" x14ac:dyDescent="0.25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2:12" x14ac:dyDescent="0.2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2:12" x14ac:dyDescent="0.25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2:12" x14ac:dyDescent="0.25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2:12" x14ac:dyDescent="0.25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</row>
    <row r="112" spans="2:12" x14ac:dyDescent="0.25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</row>
    <row r="113" spans="2:12" x14ac:dyDescent="0.25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</row>
    <row r="114" spans="2:12" x14ac:dyDescent="0.25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</row>
    <row r="115" spans="2:12" x14ac:dyDescent="0.25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</row>
    <row r="116" spans="2:12" x14ac:dyDescent="0.25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</row>
    <row r="117" spans="2:12" x14ac:dyDescent="0.25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</row>
    <row r="118" spans="2:12" x14ac:dyDescent="0.25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spans="2:12" x14ac:dyDescent="0.25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</row>
    <row r="120" spans="2:12" x14ac:dyDescent="0.25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</row>
    <row r="121" spans="2:12" x14ac:dyDescent="0.25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spans="2:12" x14ac:dyDescent="0.25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</row>
    <row r="123" spans="2:12" x14ac:dyDescent="0.25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</row>
    <row r="124" spans="2:12" x14ac:dyDescent="0.25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spans="2:12" x14ac:dyDescent="0.25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</row>
    <row r="126" spans="2:12" x14ac:dyDescent="0.25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</row>
    <row r="127" spans="2:12" x14ac:dyDescent="0.25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</row>
    <row r="128" spans="2:12" x14ac:dyDescent="0.25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</row>
    <row r="129" spans="2:12" x14ac:dyDescent="0.25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</row>
    <row r="130" spans="2:12" x14ac:dyDescent="0.25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spans="2:12" x14ac:dyDescent="0.25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</row>
    <row r="132" spans="2:12" x14ac:dyDescent="0.25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spans="2:12" x14ac:dyDescent="0.25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</row>
    <row r="134" spans="2:12" x14ac:dyDescent="0.25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spans="2:12" x14ac:dyDescent="0.25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2:12" x14ac:dyDescent="0.25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</row>
    <row r="137" spans="2:12" x14ac:dyDescent="0.25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</row>
    <row r="138" spans="2:12" x14ac:dyDescent="0.25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</row>
    <row r="139" spans="2:12" x14ac:dyDescent="0.25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</row>
    <row r="140" spans="2:12" x14ac:dyDescent="0.25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spans="2:12" x14ac:dyDescent="0.25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</row>
    <row r="142" spans="2:12" x14ac:dyDescent="0.25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</row>
    <row r="143" spans="2:12" x14ac:dyDescent="0.25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</row>
    <row r="144" spans="2:12" x14ac:dyDescent="0.25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</row>
    <row r="145" spans="2:12" x14ac:dyDescent="0.25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spans="2:12" x14ac:dyDescent="0.25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</row>
    <row r="147" spans="2:12" x14ac:dyDescent="0.25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2:12" x14ac:dyDescent="0.25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</row>
    <row r="149" spans="2:12" x14ac:dyDescent="0.25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</row>
    <row r="150" spans="2:12" x14ac:dyDescent="0.25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2:12" x14ac:dyDescent="0.25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</row>
    <row r="152" spans="2:12" x14ac:dyDescent="0.25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</row>
    <row r="153" spans="2:12" x14ac:dyDescent="0.25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2:12" x14ac:dyDescent="0.25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</row>
    <row r="155" spans="2:12" x14ac:dyDescent="0.25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</row>
    <row r="156" spans="2:12" x14ac:dyDescent="0.25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</row>
    <row r="157" spans="2:12" x14ac:dyDescent="0.25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</row>
    <row r="158" spans="2:12" x14ac:dyDescent="0.25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</row>
    <row r="159" spans="2:12" x14ac:dyDescent="0.25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2:12" x14ac:dyDescent="0.25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</row>
    <row r="161" spans="2:12" x14ac:dyDescent="0.25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</row>
    <row r="162" spans="2:12" x14ac:dyDescent="0.25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</row>
    <row r="163" spans="2:12" x14ac:dyDescent="0.25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</row>
    <row r="164" spans="2:12" x14ac:dyDescent="0.25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</row>
    <row r="165" spans="2:12" x14ac:dyDescent="0.25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</row>
    <row r="166" spans="2:12" x14ac:dyDescent="0.25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x14ac:dyDescent="0.25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</row>
    <row r="168" spans="2:12" x14ac:dyDescent="0.25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</row>
    <row r="169" spans="2:12" x14ac:dyDescent="0.25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</row>
    <row r="170" spans="2:12" x14ac:dyDescent="0.25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</row>
    <row r="171" spans="2:12" x14ac:dyDescent="0.25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</row>
    <row r="172" spans="2:12" x14ac:dyDescent="0.25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</row>
    <row r="173" spans="2:12" x14ac:dyDescent="0.25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</row>
    <row r="174" spans="2:12" x14ac:dyDescent="0.25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</row>
    <row r="175" spans="2:12" x14ac:dyDescent="0.25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</row>
    <row r="176" spans="2:12" x14ac:dyDescent="0.25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</row>
    <row r="177" spans="2:12" x14ac:dyDescent="0.25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</row>
    <row r="178" spans="2:12" x14ac:dyDescent="0.25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</row>
    <row r="179" spans="2:12" x14ac:dyDescent="0.25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</row>
    <row r="180" spans="2:12" x14ac:dyDescent="0.25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</row>
    <row r="181" spans="2:12" x14ac:dyDescent="0.25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</row>
    <row r="182" spans="2:12" x14ac:dyDescent="0.25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</row>
    <row r="183" spans="2:12" x14ac:dyDescent="0.25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</row>
    <row r="184" spans="2:12" x14ac:dyDescent="0.25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</row>
    <row r="185" spans="2:12" x14ac:dyDescent="0.25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</row>
    <row r="186" spans="2:12" x14ac:dyDescent="0.2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</row>
    <row r="187" spans="2:12" x14ac:dyDescent="0.25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</row>
    <row r="188" spans="2:12" x14ac:dyDescent="0.25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</row>
    <row r="189" spans="2:12" x14ac:dyDescent="0.25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</row>
    <row r="190" spans="2:12" x14ac:dyDescent="0.25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</row>
    <row r="191" spans="2:12" x14ac:dyDescent="0.25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</row>
    <row r="192" spans="2:12" x14ac:dyDescent="0.25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spans="2:12" x14ac:dyDescent="0.2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</row>
    <row r="194" spans="2:12" x14ac:dyDescent="0.25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</row>
    <row r="195" spans="2:12" x14ac:dyDescent="0.25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</row>
    <row r="196" spans="2:12" x14ac:dyDescent="0.25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spans="2:12" x14ac:dyDescent="0.25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</row>
    <row r="198" spans="2:12" x14ac:dyDescent="0.25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</row>
    <row r="199" spans="2:12" x14ac:dyDescent="0.25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</row>
    <row r="200" spans="2:12" x14ac:dyDescent="0.25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</row>
    <row r="201" spans="2:12" x14ac:dyDescent="0.25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</row>
    <row r="202" spans="2:12" x14ac:dyDescent="0.25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</row>
    <row r="203" spans="2:12" x14ac:dyDescent="0.25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</row>
    <row r="204" spans="2:12" x14ac:dyDescent="0.2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</row>
    <row r="205" spans="2:12" x14ac:dyDescent="0.25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</row>
    <row r="206" spans="2:12" x14ac:dyDescent="0.25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</row>
    <row r="207" spans="2:12" x14ac:dyDescent="0.25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</row>
    <row r="208" spans="2:12" x14ac:dyDescent="0.25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</row>
    <row r="209" spans="2:12" x14ac:dyDescent="0.25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</row>
    <row r="210" spans="2:12" x14ac:dyDescent="0.25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</row>
    <row r="211" spans="2:12" x14ac:dyDescent="0.25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</row>
    <row r="212" spans="2:12" x14ac:dyDescent="0.25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spans="2:12" x14ac:dyDescent="0.25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</row>
    <row r="214" spans="2:12" x14ac:dyDescent="0.25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</row>
    <row r="215" spans="2:12" x14ac:dyDescent="0.25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</row>
    <row r="216" spans="2:12" x14ac:dyDescent="0.25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</row>
    <row r="217" spans="2:12" x14ac:dyDescent="0.25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spans="2:12" x14ac:dyDescent="0.25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</row>
    <row r="219" spans="2:12" x14ac:dyDescent="0.25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</row>
    <row r="220" spans="2:12" x14ac:dyDescent="0.25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</row>
    <row r="221" spans="2:12" x14ac:dyDescent="0.25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spans="2:12" x14ac:dyDescent="0.25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</row>
    <row r="223" spans="2:12" x14ac:dyDescent="0.25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</row>
    <row r="224" spans="2:12" x14ac:dyDescent="0.25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</row>
    <row r="225" spans="2:12" x14ac:dyDescent="0.25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</row>
    <row r="226" spans="2:12" x14ac:dyDescent="0.25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</row>
    <row r="227" spans="2:12" x14ac:dyDescent="0.25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</row>
    <row r="228" spans="2:12" x14ac:dyDescent="0.25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</row>
    <row r="229" spans="2:12" x14ac:dyDescent="0.25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</row>
    <row r="230" spans="2:12" x14ac:dyDescent="0.25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</row>
    <row r="231" spans="2:12" x14ac:dyDescent="0.25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</row>
    <row r="232" spans="2:12" x14ac:dyDescent="0.25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</row>
    <row r="233" spans="2:12" x14ac:dyDescent="0.25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</row>
    <row r="234" spans="2:12" x14ac:dyDescent="0.25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</row>
    <row r="235" spans="2:12" x14ac:dyDescent="0.25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</row>
    <row r="236" spans="2:12" x14ac:dyDescent="0.2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</row>
    <row r="237" spans="2:12" x14ac:dyDescent="0.25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</row>
    <row r="238" spans="2:12" x14ac:dyDescent="0.25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</row>
    <row r="239" spans="2:12" x14ac:dyDescent="0.25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</row>
    <row r="240" spans="2:12" x14ac:dyDescent="0.25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</row>
    <row r="241" spans="2:12" x14ac:dyDescent="0.25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</row>
    <row r="242" spans="2:12" x14ac:dyDescent="0.25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spans="2:12" x14ac:dyDescent="0.25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</row>
    <row r="244" spans="2:12" x14ac:dyDescent="0.25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</row>
    <row r="245" spans="2:12" x14ac:dyDescent="0.25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</row>
    <row r="246" spans="2:12" x14ac:dyDescent="0.25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</row>
    <row r="247" spans="2:12" x14ac:dyDescent="0.25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</row>
    <row r="248" spans="2:12" x14ac:dyDescent="0.25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</row>
    <row r="249" spans="2:12" x14ac:dyDescent="0.25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</row>
    <row r="250" spans="2:12" x14ac:dyDescent="0.25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spans="2:12" x14ac:dyDescent="0.25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</row>
    <row r="252" spans="2:12" x14ac:dyDescent="0.25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</row>
    <row r="253" spans="2:12" x14ac:dyDescent="0.25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</row>
    <row r="254" spans="2:12" x14ac:dyDescent="0.25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</row>
    <row r="255" spans="2:12" x14ac:dyDescent="0.25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</row>
  </sheetData>
  <mergeCells count="2">
    <mergeCell ref="B1:G1"/>
    <mergeCell ref="H1:L1"/>
  </mergeCells>
  <pageMargins left="0.19" right="7.0000000000000007E-2" top="0.46" bottom="0.41" header="0.3" footer="0.3"/>
  <pageSetup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40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9" sqref="C59"/>
    </sheetView>
  </sheetViews>
  <sheetFormatPr defaultRowHeight="15" x14ac:dyDescent="0.25"/>
  <cols>
    <col min="1" max="1" width="37.28515625" customWidth="1"/>
    <col min="2" max="2" width="9.7109375" style="9" customWidth="1"/>
    <col min="3" max="3" width="10.140625" style="9" bestFit="1" customWidth="1"/>
    <col min="4" max="4" width="9.7109375" style="9" customWidth="1"/>
    <col min="5" max="5" width="10.85546875" style="9" bestFit="1" customWidth="1"/>
    <col min="6" max="6" width="10.140625" style="9" bestFit="1" customWidth="1"/>
    <col min="7" max="7" width="10.85546875" style="9" bestFit="1" customWidth="1"/>
    <col min="8" max="8" width="9.5703125" style="9" bestFit="1" customWidth="1"/>
    <col min="9" max="11" width="9.7109375" style="9" customWidth="1"/>
    <col min="12" max="12" width="10.5703125" style="9" bestFit="1" customWidth="1"/>
  </cols>
  <sheetData>
    <row r="1" spans="1:12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5" t="s">
        <v>2</v>
      </c>
      <c r="I1" s="295"/>
      <c r="J1" s="295"/>
      <c r="K1" s="295"/>
      <c r="L1" s="295"/>
    </row>
    <row r="2" spans="1:12" s="2" customFormat="1" ht="15.75" thickBot="1" x14ac:dyDescent="0.3">
      <c r="A2" s="5" t="s">
        <v>97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2" s="2" customFormat="1" ht="8.25" customHeight="1" x14ac:dyDescent="0.2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227" t="s">
        <v>305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</row>
    <row r="5" spans="1:12" ht="8.25" customHeight="1" x14ac:dyDescent="0.25"/>
    <row r="6" spans="1:12" x14ac:dyDescent="0.25">
      <c r="A6" s="84" t="s">
        <v>306</v>
      </c>
    </row>
    <row r="7" spans="1:12" x14ac:dyDescent="0.25">
      <c r="A7" s="23" t="s">
        <v>307</v>
      </c>
      <c r="B7" s="24">
        <f>Financials!B10</f>
        <v>19810</v>
      </c>
      <c r="C7" s="24">
        <f>Financials!C10</f>
        <v>28477</v>
      </c>
      <c r="D7" s="24">
        <f>Financials!D10</f>
        <v>29055</v>
      </c>
      <c r="E7" s="24">
        <f>Financials!E10</f>
        <v>32471</v>
      </c>
      <c r="F7" s="24">
        <f>Financials!F10</f>
        <v>29775</v>
      </c>
      <c r="G7" s="24">
        <f>Financials!G10</f>
        <v>31683</v>
      </c>
      <c r="H7" s="24">
        <f>Financials!H10</f>
        <v>32194.983185981939</v>
      </c>
      <c r="I7" s="24">
        <f>Financials!I10</f>
        <v>34832.868325212381</v>
      </c>
      <c r="J7" s="24">
        <f>Financials!J10</f>
        <v>40471.682316334482</v>
      </c>
      <c r="K7" s="24">
        <f>Financials!K10</f>
        <v>49017.045187791467</v>
      </c>
      <c r="L7" s="24">
        <f>Financials!L10</f>
        <v>58165.402809378065</v>
      </c>
    </row>
    <row r="8" spans="1:12" x14ac:dyDescent="0.25">
      <c r="A8" t="s">
        <v>308</v>
      </c>
      <c r="B8" s="25">
        <f>Financials!B30</f>
        <v>18375</v>
      </c>
      <c r="C8" s="25">
        <f>Financials!C30</f>
        <v>23166</v>
      </c>
      <c r="D8" s="25">
        <f>Financials!D30</f>
        <v>28693</v>
      </c>
      <c r="E8" s="25">
        <f>Financials!E30</f>
        <v>23110</v>
      </c>
      <c r="F8" s="25">
        <f>Financials!F30</f>
        <v>22015</v>
      </c>
      <c r="G8" s="25">
        <f>Financials!G30</f>
        <v>28661</v>
      </c>
      <c r="H8" s="25">
        <f>Financials!H30</f>
        <v>30672.421107158629</v>
      </c>
      <c r="I8" s="25">
        <f>Financials!I30</f>
        <v>31439.45094593336</v>
      </c>
      <c r="J8" s="25">
        <f>Financials!J30</f>
        <v>32381.810236921319</v>
      </c>
      <c r="K8" s="25">
        <f>Financials!K30</f>
        <v>35733.540020318425</v>
      </c>
      <c r="L8" s="25">
        <f>Financials!L30</f>
        <v>38026.607032454383</v>
      </c>
    </row>
    <row r="9" spans="1:12" ht="8.25" customHeight="1" x14ac:dyDescent="0.25"/>
    <row r="10" spans="1:12" ht="15.75" thickBot="1" x14ac:dyDescent="0.3">
      <c r="A10" s="229" t="s">
        <v>309</v>
      </c>
      <c r="B10" s="230">
        <f t="shared" ref="B10:G10" si="0">B7/B8</f>
        <v>1.078095238095238</v>
      </c>
      <c r="C10" s="230">
        <f t="shared" si="0"/>
        <v>1.2292583959250627</v>
      </c>
      <c r="D10" s="230">
        <f t="shared" si="0"/>
        <v>1.012616317568745</v>
      </c>
      <c r="E10" s="230">
        <f t="shared" si="0"/>
        <v>1.4050627434011251</v>
      </c>
      <c r="F10" s="230">
        <f t="shared" si="0"/>
        <v>1.3524869407222349</v>
      </c>
      <c r="G10" s="230">
        <f t="shared" si="0"/>
        <v>1.1054394473326123</v>
      </c>
      <c r="H10" s="230">
        <f t="shared" ref="H10:L10" si="1">H7/H8</f>
        <v>1.049639448855505</v>
      </c>
      <c r="I10" s="230">
        <f t="shared" si="1"/>
        <v>1.1079350076791958</v>
      </c>
      <c r="J10" s="230">
        <f t="shared" si="1"/>
        <v>1.249827666218277</v>
      </c>
      <c r="K10" s="230">
        <f t="shared" si="1"/>
        <v>1.3717377332310181</v>
      </c>
      <c r="L10" s="230">
        <f t="shared" si="1"/>
        <v>1.5295974936637371</v>
      </c>
    </row>
    <row r="11" spans="1:12" x14ac:dyDescent="0.25">
      <c r="A11" s="110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 x14ac:dyDescent="0.25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25">
      <c r="A13" s="84" t="s">
        <v>310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x14ac:dyDescent="0.25">
      <c r="A14" s="23" t="s">
        <v>311</v>
      </c>
      <c r="B14" s="24">
        <f>Financials!B5+Financials!B6+Financials!B7</f>
        <v>4239</v>
      </c>
      <c r="C14" s="24">
        <f>Financials!C5+Financials!C6+Financials!C7</f>
        <v>10887</v>
      </c>
      <c r="D14" s="24">
        <f>Financials!D5+Financials!D6+Financials!D7</f>
        <v>5769</v>
      </c>
      <c r="E14" s="24">
        <f>Financials!E5+Financials!E6+Financials!E7</f>
        <v>6074</v>
      </c>
      <c r="F14" s="24">
        <f>Financials!F5+Financials!F6+Financials!F7</f>
        <v>7088</v>
      </c>
      <c r="G14" s="24">
        <f>Financials!G5+Financials!G6+Financials!G7</f>
        <v>6562</v>
      </c>
      <c r="H14" s="24">
        <f>Financials!H5+Financials!H6+Financials!H7</f>
        <v>7321.6163633172564</v>
      </c>
      <c r="I14" s="24">
        <f>Financials!I5+Financials!I6+Financials!I7</f>
        <v>8072.9675836040487</v>
      </c>
      <c r="J14" s="24">
        <f>Financials!J5+Financials!J6+Financials!J7</f>
        <v>11681.179131957388</v>
      </c>
      <c r="K14" s="24">
        <f>Financials!K5+Financials!K6+Financials!K7</f>
        <v>18040.800389606495</v>
      </c>
      <c r="L14" s="24">
        <f>Financials!L5+Financials!L6+Financials!L7</f>
        <v>24836.351113697525</v>
      </c>
    </row>
    <row r="15" spans="1:12" x14ac:dyDescent="0.25">
      <c r="A15" s="26" t="s">
        <v>312</v>
      </c>
      <c r="B15" s="25">
        <f>Financials!B30</f>
        <v>18375</v>
      </c>
      <c r="C15" s="25">
        <f>Financials!C30</f>
        <v>23166</v>
      </c>
      <c r="D15" s="25">
        <f>Financials!D30</f>
        <v>28693</v>
      </c>
      <c r="E15" s="25">
        <f>Financials!E30</f>
        <v>23110</v>
      </c>
      <c r="F15" s="25">
        <f>Financials!F30</f>
        <v>22015</v>
      </c>
      <c r="G15" s="25">
        <f>Financials!G30</f>
        <v>28661</v>
      </c>
      <c r="H15" s="25">
        <f>Financials!H30</f>
        <v>30672.421107158629</v>
      </c>
      <c r="I15" s="25">
        <f>Financials!I30</f>
        <v>31439.45094593336</v>
      </c>
      <c r="J15" s="25">
        <f>Financials!J30</f>
        <v>32381.810236921319</v>
      </c>
      <c r="K15" s="25">
        <f>Financials!K30</f>
        <v>35733.540020318425</v>
      </c>
      <c r="L15" s="25">
        <f>Financials!L30</f>
        <v>38026.607032454383</v>
      </c>
    </row>
    <row r="16" spans="1:12" ht="7.9" customHeight="1" x14ac:dyDescent="0.25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1:12" ht="15.75" thickBot="1" x14ac:dyDescent="0.3">
      <c r="A17" s="229" t="s">
        <v>313</v>
      </c>
      <c r="B17" s="230">
        <f t="shared" ref="B17:G17" si="2">B14/B15</f>
        <v>0.23069387755102042</v>
      </c>
      <c r="C17" s="230">
        <f t="shared" si="2"/>
        <v>0.46995596995596994</v>
      </c>
      <c r="D17" s="230">
        <f t="shared" si="2"/>
        <v>0.20105949186212665</v>
      </c>
      <c r="E17" s="230">
        <f t="shared" si="2"/>
        <v>0.26282994374729557</v>
      </c>
      <c r="F17" s="230">
        <f t="shared" si="2"/>
        <v>0.32196229843288665</v>
      </c>
      <c r="G17" s="230">
        <f t="shared" si="2"/>
        <v>0.2289522347440773</v>
      </c>
      <c r="H17" s="230">
        <f t="shared" ref="H17:L17" si="3">H14/H15</f>
        <v>0.23870356819039845</v>
      </c>
      <c r="I17" s="230">
        <f t="shared" si="3"/>
        <v>0.25677826236492446</v>
      </c>
      <c r="J17" s="230">
        <f t="shared" si="3"/>
        <v>0.36073273997012861</v>
      </c>
      <c r="K17" s="230">
        <f t="shared" si="3"/>
        <v>0.50487022498605871</v>
      </c>
      <c r="L17" s="230">
        <f t="shared" si="3"/>
        <v>0.65313087471886633</v>
      </c>
    </row>
    <row r="18" spans="1:12" x14ac:dyDescent="0.25">
      <c r="A18" s="110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spans="1:12" x14ac:dyDescent="0.25">
      <c r="A19" s="11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x14ac:dyDescent="0.25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 x14ac:dyDescent="0.25">
      <c r="A21" s="227" t="s">
        <v>314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</row>
    <row r="22" spans="1:12" ht="7.9" customHeight="1" x14ac:dyDescent="0.25">
      <c r="A22" s="1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x14ac:dyDescent="0.25">
      <c r="A23" s="84" t="s">
        <v>315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5">
      <c r="A24" s="23" t="s">
        <v>316</v>
      </c>
      <c r="B24" s="24">
        <f>Financials!B36</f>
        <v>54352</v>
      </c>
      <c r="C24" s="24">
        <f>Financials!C36</f>
        <v>67282</v>
      </c>
      <c r="D24" s="24">
        <f>Financials!D36</f>
        <v>73572</v>
      </c>
      <c r="E24" s="24">
        <f>Financials!E36</f>
        <v>74883</v>
      </c>
      <c r="F24" s="24">
        <f>Financials!F36</f>
        <v>75486</v>
      </c>
      <c r="G24" s="24">
        <f>Financials!G36</f>
        <v>89479</v>
      </c>
      <c r="H24" s="24">
        <f>Financials!H36</f>
        <v>86215.539358027629</v>
      </c>
      <c r="I24" s="24">
        <f>Financials!I36</f>
        <v>83418.322512593135</v>
      </c>
      <c r="J24" s="24">
        <f>Financials!J36</f>
        <v>81856.534218953588</v>
      </c>
      <c r="K24" s="24">
        <f>Financials!K36</f>
        <v>81504.863788155431</v>
      </c>
      <c r="L24" s="24">
        <f>Financials!L36</f>
        <v>80116.493310704231</v>
      </c>
    </row>
    <row r="25" spans="1:12" x14ac:dyDescent="0.25">
      <c r="A25" s="26" t="s">
        <v>317</v>
      </c>
      <c r="B25" s="25">
        <f>Financials!B17</f>
        <v>51236</v>
      </c>
      <c r="C25" s="25">
        <f>Financials!C17</f>
        <v>70581</v>
      </c>
      <c r="D25" s="25">
        <f>Financials!D17</f>
        <v>71876</v>
      </c>
      <c r="E25" s="25">
        <f>Financials!E17</f>
        <v>76445</v>
      </c>
      <c r="F25" s="25">
        <f>Financials!F17</f>
        <v>76530</v>
      </c>
      <c r="G25" s="25">
        <f>Financials!G17</f>
        <v>96119</v>
      </c>
      <c r="H25" s="25">
        <f>Financials!H17</f>
        <v>96660.460139503164</v>
      </c>
      <c r="I25" s="25">
        <f>Financials!I17</f>
        <v>99371.200473146309</v>
      </c>
      <c r="J25" s="25">
        <f>Financials!J17</f>
        <v>105174.54343927652</v>
      </c>
      <c r="K25" s="25">
        <f>Financials!K17</f>
        <v>113992.15645167143</v>
      </c>
      <c r="L25" s="25">
        <f>Financials!L17</f>
        <v>123553.14748514103</v>
      </c>
    </row>
    <row r="26" spans="1:12" ht="7.9" customHeight="1" x14ac:dyDescent="0.25">
      <c r="A26" s="2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spans="1:12" ht="15.75" thickBot="1" x14ac:dyDescent="0.3">
      <c r="A27" s="231" t="s">
        <v>318</v>
      </c>
      <c r="B27" s="230">
        <f t="shared" ref="B27:G27" si="4">B24/B25</f>
        <v>1.0608166133187602</v>
      </c>
      <c r="C27" s="230">
        <f t="shared" si="4"/>
        <v>0.95325937575268127</v>
      </c>
      <c r="D27" s="230">
        <f t="shared" si="4"/>
        <v>1.0235961934442652</v>
      </c>
      <c r="E27" s="230">
        <f t="shared" si="4"/>
        <v>0.97956700896069071</v>
      </c>
      <c r="F27" s="230">
        <f t="shared" si="4"/>
        <v>0.98635829086632698</v>
      </c>
      <c r="G27" s="230">
        <f t="shared" si="4"/>
        <v>0.93091896503292793</v>
      </c>
      <c r="H27" s="230">
        <f t="shared" ref="H27:L27" si="5">H24/H25</f>
        <v>0.89194215746127092</v>
      </c>
      <c r="I27" s="230">
        <f t="shared" si="5"/>
        <v>0.83946175668005318</v>
      </c>
      <c r="J27" s="230">
        <f t="shared" si="5"/>
        <v>0.77829227056463723</v>
      </c>
      <c r="K27" s="230">
        <f t="shared" si="5"/>
        <v>0.71500413997967094</v>
      </c>
      <c r="L27" s="230">
        <f t="shared" si="5"/>
        <v>0.64843749383510718</v>
      </c>
    </row>
    <row r="28" spans="1:12" x14ac:dyDescent="0.25">
      <c r="A28" s="30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 x14ac:dyDescent="0.25">
      <c r="A29" s="2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x14ac:dyDescent="0.25">
      <c r="A30" s="84" t="s">
        <v>319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x14ac:dyDescent="0.25">
      <c r="A31" s="23" t="s">
        <v>320</v>
      </c>
      <c r="B31" s="24">
        <f>Financials!B21+Financials!B27+Financials!B32</f>
        <v>31483</v>
      </c>
      <c r="C31" s="24">
        <f>Financials!C21+Financials!C27+Financials!C32</f>
        <v>37238</v>
      </c>
      <c r="D31" s="24">
        <f>Financials!D21+Financials!D27+Financials!D32</f>
        <v>40086</v>
      </c>
      <c r="E31" s="24">
        <f>Financials!E21+Financials!E27+Financials!E32</f>
        <v>43193</v>
      </c>
      <c r="F31" s="24">
        <f>Financials!F21+Financials!F27+Financials!F32</f>
        <v>44111</v>
      </c>
      <c r="G31" s="24">
        <f>Financials!G21+Financials!G27+Financials!G32</f>
        <v>53383</v>
      </c>
      <c r="H31" s="24">
        <f>Financials!H21+Financials!H27+Financials!H32</f>
        <v>48801</v>
      </c>
      <c r="I31" s="24">
        <f>Financials!I21+Financials!I27+Financials!I32</f>
        <v>43956</v>
      </c>
      <c r="J31" s="24">
        <f>Financials!J21+Financials!J27+Financials!J32</f>
        <v>40187</v>
      </c>
      <c r="K31" s="24">
        <f>Financials!K21+Financials!K27+Financials!K32</f>
        <v>37460</v>
      </c>
      <c r="L31" s="24">
        <f>Financials!L21+Financials!L27+Financials!L32</f>
        <v>33514</v>
      </c>
    </row>
    <row r="32" spans="1:12" x14ac:dyDescent="0.25">
      <c r="A32" s="26" t="s">
        <v>321</v>
      </c>
      <c r="B32" s="25">
        <f>Financials!B21+Financials!B27+Financials!B32+Financials!B44</f>
        <v>28367</v>
      </c>
      <c r="C32" s="25">
        <f>Financials!C21+Financials!C27+Financials!C32+Financials!C44</f>
        <v>40537</v>
      </c>
      <c r="D32" s="25">
        <f>Financials!D21+Financials!D27+Financials!D32+Financials!D44</f>
        <v>38390</v>
      </c>
      <c r="E32" s="25">
        <f>Financials!E21+Financials!E27+Financials!E32+Financials!E44</f>
        <v>44755</v>
      </c>
      <c r="F32" s="25">
        <f>Financials!F21+Financials!F27+Financials!F32+Financials!F44</f>
        <v>45155</v>
      </c>
      <c r="G32" s="25">
        <f>Financials!G21+Financials!G27+Financials!G32+Financials!G44</f>
        <v>60023</v>
      </c>
      <c r="H32" s="25">
        <f>Financials!H21+Financials!H27+Financials!H32+Financials!H44</f>
        <v>59245.92078147555</v>
      </c>
      <c r="I32" s="25">
        <f>Financials!I21+Financials!I27+Financials!I32+Financials!I44</f>
        <v>59908.877960553189</v>
      </c>
      <c r="J32" s="25">
        <f>Financials!J21+Financials!J27+Financials!J32+Financials!J44</f>
        <v>63505.009220322943</v>
      </c>
      <c r="K32" s="25">
        <f>Financials!K21+Financials!K27+Financials!K32+Financials!K44</f>
        <v>69947.292663515982</v>
      </c>
      <c r="L32" s="25">
        <f>Financials!L21+Financials!L27+Financials!L32+Financials!L44</f>
        <v>76950.654174436815</v>
      </c>
    </row>
    <row r="33" spans="1:12" ht="7.9" customHeight="1" x14ac:dyDescent="0.25">
      <c r="A33" s="26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15.75" thickBot="1" x14ac:dyDescent="0.3">
      <c r="A34" s="231" t="s">
        <v>322</v>
      </c>
      <c r="B34" s="230">
        <f t="shared" ref="B34:G34" si="6">B31/B32</f>
        <v>1.1098459477561955</v>
      </c>
      <c r="C34" s="230">
        <f t="shared" si="6"/>
        <v>0.91861755926684263</v>
      </c>
      <c r="D34" s="230">
        <f t="shared" si="6"/>
        <v>1.0441781713988019</v>
      </c>
      <c r="E34" s="230">
        <f t="shared" si="6"/>
        <v>0.96509887163445429</v>
      </c>
      <c r="F34" s="230">
        <f t="shared" si="6"/>
        <v>0.97687963680655521</v>
      </c>
      <c r="G34" s="230">
        <f t="shared" si="6"/>
        <v>0.88937573929993508</v>
      </c>
      <c r="H34" s="230">
        <f t="shared" ref="H34:L34" si="7">H31/H32</f>
        <v>0.82370227952062869</v>
      </c>
      <c r="I34" s="230">
        <f t="shared" si="7"/>
        <v>0.73371429237821295</v>
      </c>
      <c r="J34" s="230">
        <f t="shared" si="7"/>
        <v>0.63281622179718244</v>
      </c>
      <c r="K34" s="230">
        <f t="shared" si="7"/>
        <v>0.53554610298075012</v>
      </c>
      <c r="L34" s="230">
        <f t="shared" si="7"/>
        <v>0.43552586211974564</v>
      </c>
    </row>
    <row r="35" spans="1:12" x14ac:dyDescent="0.25">
      <c r="A35" s="30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x14ac:dyDescent="0.25">
      <c r="A36" s="26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x14ac:dyDescent="0.25">
      <c r="A37" s="84" t="s">
        <v>323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x14ac:dyDescent="0.25">
      <c r="A38" s="23" t="s">
        <v>324</v>
      </c>
      <c r="B38" s="24">
        <f>Financials!B67</f>
        <v>15843</v>
      </c>
      <c r="C38" s="24">
        <f>Financials!C67</f>
        <v>18278</v>
      </c>
      <c r="D38" s="24">
        <f>Financials!D67</f>
        <v>23040</v>
      </c>
      <c r="E38" s="24">
        <f>Financials!E67</f>
        <v>24039</v>
      </c>
      <c r="F38" s="24">
        <f>Financials!F67</f>
        <v>21689</v>
      </c>
      <c r="G38" s="24">
        <f>Financials!G67</f>
        <v>21526</v>
      </c>
      <c r="H38" s="24">
        <f>Financials!H67</f>
        <v>24334.653049741966</v>
      </c>
      <c r="I38" s="24">
        <f>Financials!I67</f>
        <v>26253.795729622776</v>
      </c>
      <c r="J38" s="24">
        <f>Financials!J67</f>
        <v>28327.583368730469</v>
      </c>
      <c r="K38" s="24">
        <f>Financials!K67</f>
        <v>30568.26683711417</v>
      </c>
      <c r="L38" s="24">
        <f>Financials!L67</f>
        <v>33003.962571608587</v>
      </c>
    </row>
    <row r="39" spans="1:12" x14ac:dyDescent="0.25">
      <c r="A39" s="26" t="s">
        <v>325</v>
      </c>
      <c r="B39" s="25">
        <f>Financials!B71</f>
        <v>1201</v>
      </c>
      <c r="C39" s="25">
        <f>Financials!C71</f>
        <v>1347</v>
      </c>
      <c r="D39" s="25">
        <f>Financials!D71</f>
        <v>1347</v>
      </c>
      <c r="E39" s="25">
        <f>Financials!E71</f>
        <v>1617</v>
      </c>
      <c r="F39" s="25">
        <f>Financials!F71</f>
        <v>1943</v>
      </c>
      <c r="G39" s="25">
        <f>Financials!G71</f>
        <v>2321</v>
      </c>
      <c r="H39" s="25">
        <f>Financials!H71</f>
        <v>2191.6671000000001</v>
      </c>
      <c r="I39" s="25">
        <f>Financials!I71</f>
        <v>2002.4305000000002</v>
      </c>
      <c r="J39" s="25">
        <f>Financials!J71</f>
        <v>1802.3320000000001</v>
      </c>
      <c r="K39" s="25">
        <f>Financials!K71</f>
        <v>1646.6723000000002</v>
      </c>
      <c r="L39" s="25">
        <f>Financials!L71</f>
        <v>1534.0472000000002</v>
      </c>
    </row>
    <row r="40" spans="1:12" ht="7.9" customHeight="1" x14ac:dyDescent="0.25">
      <c r="A40" s="26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15.75" thickBot="1" x14ac:dyDescent="0.3">
      <c r="A41" s="231" t="s">
        <v>326</v>
      </c>
      <c r="B41" s="230">
        <f t="shared" ref="B41:G41" si="8">B38/B39</f>
        <v>13.191507077435471</v>
      </c>
      <c r="C41" s="230">
        <f t="shared" si="8"/>
        <v>13.569413511507053</v>
      </c>
      <c r="D41" s="230">
        <f t="shared" si="8"/>
        <v>17.104677060133632</v>
      </c>
      <c r="E41" s="230">
        <f t="shared" si="8"/>
        <v>14.866419294990724</v>
      </c>
      <c r="F41" s="230">
        <f t="shared" si="8"/>
        <v>11.162635100360268</v>
      </c>
      <c r="G41" s="230">
        <f t="shared" si="8"/>
        <v>9.2744506678155965</v>
      </c>
      <c r="H41" s="230">
        <f t="shared" ref="H41:L41" si="9">H38/H39</f>
        <v>11.10326155361002</v>
      </c>
      <c r="I41" s="230">
        <f t="shared" si="9"/>
        <v>13.110964764880865</v>
      </c>
      <c r="J41" s="230">
        <f t="shared" si="9"/>
        <v>15.71718383113126</v>
      </c>
      <c r="K41" s="230">
        <f t="shared" si="9"/>
        <v>18.563661292604586</v>
      </c>
      <c r="L41" s="230">
        <f t="shared" si="9"/>
        <v>21.514307103202942</v>
      </c>
    </row>
    <row r="42" spans="1:12" x14ac:dyDescent="0.25">
      <c r="A42" s="30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x14ac:dyDescent="0.25">
      <c r="A43" s="26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 x14ac:dyDescent="0.25">
      <c r="A44" s="84" t="s">
        <v>327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x14ac:dyDescent="0.25">
      <c r="A45" s="23" t="s">
        <v>320</v>
      </c>
      <c r="B45" s="24">
        <f>Financials!B21+Financials!B27+Financials!B32</f>
        <v>31483</v>
      </c>
      <c r="C45" s="24">
        <f>Financials!C21+Financials!C27+Financials!C32</f>
        <v>37238</v>
      </c>
      <c r="D45" s="24">
        <f>Financials!D21+Financials!D27+Financials!D32</f>
        <v>40086</v>
      </c>
      <c r="E45" s="24">
        <f>Financials!E21+Financials!E27+Financials!E32</f>
        <v>43193</v>
      </c>
      <c r="F45" s="24">
        <f>Financials!F21+Financials!F27+Financials!F32</f>
        <v>44111</v>
      </c>
      <c r="G45" s="24">
        <f>Financials!G21+Financials!G27+Financials!G32</f>
        <v>53383</v>
      </c>
      <c r="H45" s="24">
        <f>Financials!H21+Financials!H27+Financials!H32</f>
        <v>48801</v>
      </c>
      <c r="I45" s="24">
        <f>Financials!I21+Financials!I27+Financials!I32</f>
        <v>43956</v>
      </c>
      <c r="J45" s="24">
        <f>Financials!J21+Financials!J27+Financials!J32</f>
        <v>40187</v>
      </c>
      <c r="K45" s="24">
        <f>Financials!K21+Financials!K27+Financials!K32</f>
        <v>37460</v>
      </c>
      <c r="L45" s="24">
        <f>Financials!L21+Financials!L27+Financials!L32</f>
        <v>33514</v>
      </c>
    </row>
    <row r="46" spans="1:12" x14ac:dyDescent="0.25">
      <c r="A46" s="26" t="s">
        <v>328</v>
      </c>
      <c r="B46" s="25">
        <f>Financials!B75+Financials!B71+Financials!B89+Financials!B90</f>
        <v>18212</v>
      </c>
      <c r="C46" s="25">
        <f>Financials!C75+Financials!C71+Financials!C89+Financials!C90</f>
        <v>20844</v>
      </c>
      <c r="D46" s="25">
        <f>Financials!D75+Financials!D71+Financials!D89+Financials!D90</f>
        <v>25946</v>
      </c>
      <c r="E46" s="25">
        <f>Financials!E75+Financials!E71+Financials!E89+Financials!E90</f>
        <v>27069</v>
      </c>
      <c r="F46" s="25">
        <f>Financials!F75+Financials!F71+Financials!F89+Financials!F90</f>
        <v>25114</v>
      </c>
      <c r="G46" s="25">
        <f>Financials!G75+Financials!G71+Financials!G89+Financials!G90</f>
        <v>25488</v>
      </c>
      <c r="H46" s="25">
        <f>Financials!H75+Financials!H71+Financials!H89+Financials!H90</f>
        <v>27986.708605297521</v>
      </c>
      <c r="I46" s="25">
        <f>Financials!I75+Financials!I71+Financials!I89+Financials!I90</f>
        <v>30037.923717697886</v>
      </c>
      <c r="J46" s="25">
        <f>Financials!J75+Financials!J71+Financials!J89+Financials!J90</f>
        <v>32285.836964724484</v>
      </c>
      <c r="K46" s="25">
        <f>Financials!K75+Financials!K71+Financials!K89+Financials!K90</f>
        <v>34509.520944975222</v>
      </c>
      <c r="L46" s="25">
        <f>Financials!L75+Financials!L71+Financials!L89+Financials!L90</f>
        <v>36729.870439018036</v>
      </c>
    </row>
    <row r="47" spans="1:12" ht="7.9" customHeight="1" x14ac:dyDescent="0.25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15.75" thickBot="1" x14ac:dyDescent="0.3">
      <c r="A48" s="231" t="s">
        <v>329</v>
      </c>
      <c r="B48" s="230">
        <f t="shared" ref="B48:G48" si="10">B45/B46</f>
        <v>1.7286953656929498</v>
      </c>
      <c r="C48" s="230">
        <f t="shared" si="10"/>
        <v>1.7865093072346958</v>
      </c>
      <c r="D48" s="230">
        <f t="shared" si="10"/>
        <v>1.5449780312957682</v>
      </c>
      <c r="E48" s="230">
        <f t="shared" si="10"/>
        <v>1.5956629354612286</v>
      </c>
      <c r="F48" s="230">
        <f t="shared" si="10"/>
        <v>1.7564306761169068</v>
      </c>
      <c r="G48" s="230">
        <f t="shared" si="10"/>
        <v>2.0944365976145636</v>
      </c>
      <c r="H48" s="230">
        <f t="shared" ref="H48:L48" si="11">H45/H46</f>
        <v>1.7437205885211742</v>
      </c>
      <c r="I48" s="230">
        <f t="shared" si="11"/>
        <v>1.4633501440747649</v>
      </c>
      <c r="J48" s="230">
        <f t="shared" si="11"/>
        <v>1.2447253587976774</v>
      </c>
      <c r="K48" s="230">
        <f t="shared" si="11"/>
        <v>1.0854975373239537</v>
      </c>
      <c r="L48" s="230">
        <f t="shared" si="11"/>
        <v>0.91244536393458586</v>
      </c>
    </row>
    <row r="49" spans="1:12" x14ac:dyDescent="0.25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x14ac:dyDescent="0.25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 x14ac:dyDescent="0.25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spans="1:12" x14ac:dyDescent="0.25">
      <c r="A52" s="227" t="s">
        <v>330</v>
      </c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8"/>
    </row>
    <row r="53" spans="1:12" ht="8.25" customHeight="1" x14ac:dyDescent="0.25"/>
    <row r="54" spans="1:12" ht="14.45" customHeight="1" x14ac:dyDescent="0.25">
      <c r="A54" s="84" t="s">
        <v>331</v>
      </c>
    </row>
    <row r="55" spans="1:12" ht="14.45" customHeight="1" x14ac:dyDescent="0.25">
      <c r="A55" s="28" t="s">
        <v>332</v>
      </c>
      <c r="B55" s="25"/>
      <c r="C55" s="24">
        <f>(Financials!B7+Financials!C7)/2</f>
        <v>2549</v>
      </c>
      <c r="D55" s="24">
        <f>(Financials!C7+Financials!D7)/2</f>
        <v>3209</v>
      </c>
      <c r="E55" s="24">
        <f>(Financials!D7+Financials!E7)/2</f>
        <v>3371.5</v>
      </c>
      <c r="F55" s="24">
        <f>(Financials!E7+Financials!F7)/2</f>
        <v>3322.5</v>
      </c>
      <c r="G55" s="24">
        <f>(Financials!F7+Financials!G7)/2</f>
        <v>4115.5</v>
      </c>
      <c r="H55" s="24">
        <f>(Financials!G7+Financials!H7)/2</f>
        <v>4329.7687671959848</v>
      </c>
      <c r="I55" s="24">
        <f>(Financials!H7+Financials!I7)/2</f>
        <v>3898.9958418447004</v>
      </c>
      <c r="J55" s="24">
        <f>(Financials!I7+Financials!J7)/2</f>
        <v>4194.791539206748</v>
      </c>
      <c r="K55" s="24">
        <f>(Financials!J7+Financials!K7)/2</f>
        <v>4513.1813820326952</v>
      </c>
      <c r="L55" s="24">
        <f>(Financials!K7+Financials!L7)/2</f>
        <v>4855.901930399209</v>
      </c>
    </row>
    <row r="56" spans="1:12" ht="14.45" customHeight="1" x14ac:dyDescent="0.25">
      <c r="A56" s="23" t="s">
        <v>333</v>
      </c>
      <c r="B56" s="29"/>
      <c r="C56" s="29">
        <f>Financials!C55</f>
        <v>132110</v>
      </c>
      <c r="D56" s="29">
        <f>Financials!D55</f>
        <v>151157</v>
      </c>
      <c r="E56" s="29">
        <f>Financials!E55</f>
        <v>157403</v>
      </c>
      <c r="F56" s="29">
        <f>Financials!F55</f>
        <v>152669</v>
      </c>
      <c r="G56" s="29">
        <f>Financials!G55</f>
        <v>159514</v>
      </c>
      <c r="H56" s="29">
        <f>Financials!H55</f>
        <v>171606.5331731</v>
      </c>
      <c r="I56" s="29">
        <f>Financials!I55</f>
        <v>184622.12321571491</v>
      </c>
      <c r="J56" s="29">
        <f>Financials!J55</f>
        <v>198631.67198089664</v>
      </c>
      <c r="K56" s="29">
        <f>Financials!K55</f>
        <v>213711.55816727196</v>
      </c>
      <c r="L56" s="29">
        <f>Financials!L55</f>
        <v>229944.0625074993</v>
      </c>
    </row>
    <row r="57" spans="1:12" ht="14.45" customHeight="1" x14ac:dyDescent="0.25">
      <c r="A57" s="26" t="s">
        <v>334</v>
      </c>
      <c r="C57" s="9">
        <v>365</v>
      </c>
      <c r="D57" s="9">
        <v>365</v>
      </c>
      <c r="E57" s="9">
        <v>365</v>
      </c>
      <c r="F57" s="9">
        <v>365</v>
      </c>
      <c r="G57" s="9">
        <v>365</v>
      </c>
      <c r="H57" s="9">
        <v>365</v>
      </c>
      <c r="I57" s="9">
        <v>365</v>
      </c>
      <c r="J57" s="9">
        <v>365</v>
      </c>
      <c r="K57" s="9">
        <v>365</v>
      </c>
      <c r="L57" s="9">
        <v>365</v>
      </c>
    </row>
    <row r="58" spans="1:12" ht="7.9" customHeight="1" x14ac:dyDescent="0.25"/>
    <row r="59" spans="1:12" ht="14.45" customHeight="1" thickBot="1" x14ac:dyDescent="0.3">
      <c r="A59" s="231" t="s">
        <v>335</v>
      </c>
      <c r="B59" s="232"/>
      <c r="C59" s="232">
        <f t="shared" ref="C59:G59" si="12">C55/(C56/C57)</f>
        <v>7.0425024600711525</v>
      </c>
      <c r="D59" s="232">
        <f t="shared" si="12"/>
        <v>7.7487976077852831</v>
      </c>
      <c r="E59" s="232">
        <f t="shared" si="12"/>
        <v>7.8181324371200036</v>
      </c>
      <c r="F59" s="232">
        <f t="shared" si="12"/>
        <v>7.9434102535550775</v>
      </c>
      <c r="G59" s="232">
        <f t="shared" si="12"/>
        <v>9.4170887821758598</v>
      </c>
      <c r="H59" s="232">
        <f t="shared" ref="H59:L59" si="13">H55/(H56/H57)</f>
        <v>9.20923912863163</v>
      </c>
      <c r="I59" s="232">
        <f t="shared" si="13"/>
        <v>7.7083583347728473</v>
      </c>
      <c r="J59" s="232">
        <f t="shared" si="13"/>
        <v>7.70823150478095</v>
      </c>
      <c r="K59" s="232">
        <f t="shared" si="13"/>
        <v>7.708105348015776</v>
      </c>
      <c r="L59" s="232">
        <f t="shared" si="13"/>
        <v>7.7079798680946885</v>
      </c>
    </row>
    <row r="60" spans="1:12" ht="14.45" customHeight="1" x14ac:dyDescent="0.25">
      <c r="A60" s="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</row>
    <row r="61" spans="1:12" ht="14.45" customHeight="1" x14ac:dyDescent="0.25"/>
    <row r="62" spans="1:12" ht="14.45" customHeight="1" x14ac:dyDescent="0.25">
      <c r="A62" s="84" t="s">
        <v>336</v>
      </c>
    </row>
    <row r="63" spans="1:12" ht="14.45" customHeight="1" x14ac:dyDescent="0.25">
      <c r="A63" s="23" t="s">
        <v>337</v>
      </c>
      <c r="B63" s="25"/>
      <c r="C63" s="24">
        <f>Financials!C57</f>
        <v>87257</v>
      </c>
      <c r="D63" s="24">
        <f>Financials!D57</f>
        <v>100325</v>
      </c>
      <c r="E63" s="24">
        <f>Financials!E57</f>
        <v>104625</v>
      </c>
      <c r="F63" s="24">
        <f>Financials!F57</f>
        <v>101709</v>
      </c>
      <c r="G63" s="24">
        <f>Financials!G57</f>
        <v>106206</v>
      </c>
      <c r="H63" s="24">
        <f>Financials!H57</f>
        <v>113826.61345371723</v>
      </c>
      <c r="I63" s="24">
        <f>Financials!I57</f>
        <v>122459.8543289837</v>
      </c>
      <c r="J63" s="24">
        <f>Financials!J57</f>
        <v>131752.38802492875</v>
      </c>
      <c r="K63" s="24">
        <f>Financials!K57</f>
        <v>141754.87653235148</v>
      </c>
      <c r="L63" s="24">
        <f>Financials!L57</f>
        <v>152521.89666122428</v>
      </c>
    </row>
    <row r="64" spans="1:12" ht="14.45" customHeight="1" x14ac:dyDescent="0.25">
      <c r="A64" t="s">
        <v>338</v>
      </c>
      <c r="B64" s="25"/>
      <c r="C64" s="25">
        <f>(Financials!B8+Financials!C8)/2</f>
        <v>15579</v>
      </c>
      <c r="D64" s="25">
        <f>(Financials!C8+Financials!D8)/2</f>
        <v>19347.5</v>
      </c>
      <c r="E64" s="25">
        <f>(Financials!D8+Financials!E8)/2</f>
        <v>23477</v>
      </c>
      <c r="F64" s="25">
        <f>(Financials!E8+Financials!F8)/2</f>
        <v>22931</v>
      </c>
      <c r="G64" s="25">
        <f>(Financials!F8+Financials!G8)/2</f>
        <v>22213.5</v>
      </c>
      <c r="H64" s="25">
        <f>(Financials!G8+Financials!H8)/2</f>
        <v>23364.213032077427</v>
      </c>
      <c r="I64" s="25">
        <f>(Financials!H8+Financials!I8)/2</f>
        <v>24160.17052992852</v>
      </c>
      <c r="J64" s="25">
        <f>(Financials!I8+Financials!J8)/2</f>
        <v>25993.071815328469</v>
      </c>
      <c r="K64" s="25">
        <f>(Financials!J8+Financials!K8)/2</f>
        <v>27965.977971092048</v>
      </c>
      <c r="L64" s="25">
        <f>(Financials!K8+Financials!L8)/2</f>
        <v>30089.64961079507</v>
      </c>
    </row>
    <row r="65" spans="1:12" ht="7.9" customHeight="1" x14ac:dyDescent="0.25"/>
    <row r="66" spans="1:12" ht="14.45" customHeight="1" thickBot="1" x14ac:dyDescent="0.3">
      <c r="A66" s="231" t="s">
        <v>339</v>
      </c>
      <c r="B66" s="230"/>
      <c r="C66" s="230">
        <f>C63/C64</f>
        <v>5.6009371589960848</v>
      </c>
      <c r="D66" s="230">
        <f t="shared" ref="D66:G66" si="14">D63/D64</f>
        <v>5.1854244734461821</v>
      </c>
      <c r="E66" s="230">
        <f t="shared" si="14"/>
        <v>4.4564893299825359</v>
      </c>
      <c r="F66" s="230">
        <f t="shared" si="14"/>
        <v>4.4354367450176619</v>
      </c>
      <c r="G66" s="230">
        <f t="shared" si="14"/>
        <v>4.7811466000405156</v>
      </c>
      <c r="H66" s="230">
        <f t="shared" ref="H66:L66" si="15">H63/H64</f>
        <v>4.8718359697132225</v>
      </c>
      <c r="I66" s="230">
        <f t="shared" si="15"/>
        <v>5.0686668033773188</v>
      </c>
      <c r="J66" s="230">
        <f t="shared" si="15"/>
        <v>5.0687502023994169</v>
      </c>
      <c r="K66" s="230">
        <f t="shared" si="15"/>
        <v>5.0688331614535729</v>
      </c>
      <c r="L66" s="230">
        <f t="shared" si="15"/>
        <v>5.0689156781175999</v>
      </c>
    </row>
    <row r="67" spans="1:12" ht="14.45" customHeight="1" x14ac:dyDescent="0.25">
      <c r="A67" s="30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spans="1:12" ht="14.45" customHeight="1" x14ac:dyDescent="0.25"/>
    <row r="69" spans="1:12" ht="14.45" customHeight="1" x14ac:dyDescent="0.25">
      <c r="A69" s="111" t="s">
        <v>340</v>
      </c>
    </row>
    <row r="70" spans="1:12" ht="14.45" customHeight="1" x14ac:dyDescent="0.25">
      <c r="A70" s="27" t="s">
        <v>341</v>
      </c>
      <c r="C70" s="21">
        <v>365</v>
      </c>
      <c r="D70" s="21">
        <v>365</v>
      </c>
      <c r="E70" s="21">
        <v>365</v>
      </c>
      <c r="F70" s="21">
        <v>365</v>
      </c>
      <c r="G70" s="21">
        <v>365</v>
      </c>
      <c r="H70" s="21">
        <v>365</v>
      </c>
      <c r="I70" s="21">
        <v>365</v>
      </c>
      <c r="J70" s="21">
        <v>365</v>
      </c>
      <c r="K70" s="21">
        <v>365</v>
      </c>
      <c r="L70" s="21">
        <v>365</v>
      </c>
    </row>
    <row r="71" spans="1:12" ht="14.45" customHeight="1" x14ac:dyDescent="0.25">
      <c r="A71" s="26" t="s">
        <v>342</v>
      </c>
      <c r="B71" s="17"/>
      <c r="C71" s="17">
        <f t="shared" ref="C71:G71" si="16">C66</f>
        <v>5.6009371589960848</v>
      </c>
      <c r="D71" s="17">
        <f t="shared" si="16"/>
        <v>5.1854244734461821</v>
      </c>
      <c r="E71" s="17">
        <f t="shared" si="16"/>
        <v>4.4564893299825359</v>
      </c>
      <c r="F71" s="17">
        <f t="shared" si="16"/>
        <v>4.4354367450176619</v>
      </c>
      <c r="G71" s="17">
        <f t="shared" si="16"/>
        <v>4.7811466000405156</v>
      </c>
      <c r="H71" s="17">
        <f t="shared" ref="H71:L71" si="17">H66</f>
        <v>4.8718359697132225</v>
      </c>
      <c r="I71" s="17">
        <f t="shared" si="17"/>
        <v>5.0686668033773188</v>
      </c>
      <c r="J71" s="17">
        <f t="shared" si="17"/>
        <v>5.0687502023994169</v>
      </c>
      <c r="K71" s="17">
        <f t="shared" si="17"/>
        <v>5.0688331614535729</v>
      </c>
      <c r="L71" s="17">
        <f t="shared" si="17"/>
        <v>5.0689156781175999</v>
      </c>
    </row>
    <row r="72" spans="1:12" ht="7.9" customHeight="1" x14ac:dyDescent="0.25"/>
    <row r="73" spans="1:12" ht="14.45" customHeight="1" thickBot="1" x14ac:dyDescent="0.3">
      <c r="A73" s="233" t="s">
        <v>343</v>
      </c>
      <c r="B73" s="232"/>
      <c r="C73" s="232">
        <f t="shared" ref="C73:G73" si="18">C70/C71</f>
        <v>65.167665631410657</v>
      </c>
      <c r="D73" s="232">
        <f t="shared" si="18"/>
        <v>70.389608771492647</v>
      </c>
      <c r="E73" s="232">
        <f t="shared" si="18"/>
        <v>81.903034647550783</v>
      </c>
      <c r="F73" s="232">
        <f t="shared" si="18"/>
        <v>82.29178342132947</v>
      </c>
      <c r="G73" s="232">
        <f t="shared" si="18"/>
        <v>76.341520253093051</v>
      </c>
      <c r="H73" s="232">
        <f t="shared" ref="H73:L73" si="19">H70/H71</f>
        <v>74.920420611264035</v>
      </c>
      <c r="I73" s="232">
        <f t="shared" si="19"/>
        <v>72.011046328157875</v>
      </c>
      <c r="J73" s="232">
        <f t="shared" si="19"/>
        <v>72.009861489567655</v>
      </c>
      <c r="K73" s="232">
        <f t="shared" si="19"/>
        <v>72.008682940223295</v>
      </c>
      <c r="L73" s="232">
        <f t="shared" si="19"/>
        <v>72.007510713917995</v>
      </c>
    </row>
    <row r="74" spans="1:12" ht="14.45" customHeight="1" x14ac:dyDescent="0.25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2" ht="14.45" customHeight="1" x14ac:dyDescent="0.25"/>
    <row r="76" spans="1:12" ht="14.45" customHeight="1" x14ac:dyDescent="0.25">
      <c r="A76" s="111" t="s">
        <v>344</v>
      </c>
    </row>
    <row r="77" spans="1:12" ht="14.45" customHeight="1" x14ac:dyDescent="0.25">
      <c r="A77" s="23" t="s">
        <v>345</v>
      </c>
      <c r="B77" s="25"/>
      <c r="C77" s="24">
        <f>(Financials!B22+Financials!C22)/2</f>
        <v>9696.5</v>
      </c>
      <c r="D77" s="24">
        <f>(Financials!C22+Financials!D22)/2</f>
        <v>12534</v>
      </c>
      <c r="E77" s="24">
        <f>(Financials!D22+Financials!E22)/2</f>
        <v>12452.5</v>
      </c>
      <c r="F77" s="24">
        <f>(Financials!E22+Financials!F22)/2</f>
        <v>10740</v>
      </c>
      <c r="G77" s="24">
        <f>(Financials!F22+Financials!G22)/2</f>
        <v>10987.5</v>
      </c>
      <c r="H77" s="24">
        <f>(Financials!G22+Financials!H22)/2</f>
        <v>12399.902878547084</v>
      </c>
      <c r="I77" s="24">
        <f>(Financials!H22+Financials!I22)/2</f>
        <v>13349.561053604999</v>
      </c>
      <c r="J77" s="24">
        <f>(Financials!I22+Financials!J22)/2</f>
        <v>14362.31994884406</v>
      </c>
      <c r="K77" s="24">
        <f>(Financials!J22+Financials!K22)/2</f>
        <v>15452.437717126093</v>
      </c>
      <c r="L77" s="24">
        <f>(Financials!K22+Financials!L22)/2</f>
        <v>16625.860072605999</v>
      </c>
    </row>
    <row r="78" spans="1:12" ht="14.45" customHeight="1" x14ac:dyDescent="0.25">
      <c r="A78" s="23" t="s">
        <v>346</v>
      </c>
      <c r="B78" s="29"/>
      <c r="C78" s="29">
        <f>Financials!C57+Financials!C62</f>
        <v>111704</v>
      </c>
      <c r="D78" s="29">
        <f>Financials!D57+Financials!D62</f>
        <v>125731</v>
      </c>
      <c r="E78" s="29">
        <f>Financials!E57+Financials!E62</f>
        <v>130909</v>
      </c>
      <c r="F78" s="29">
        <f>Financials!F57+Financials!F62</f>
        <v>128307</v>
      </c>
      <c r="G78" s="29">
        <f>Financials!G57+Financials!G62</f>
        <v>134954</v>
      </c>
      <c r="H78" s="29">
        <f>Financials!H57+Financials!H62</f>
        <v>143960.72067891358</v>
      </c>
      <c r="I78" s="29">
        <f>Financials!I57+Financials!I62</f>
        <v>154879.49916566323</v>
      </c>
      <c r="J78" s="29">
        <f>Financials!J57+Financials!J62</f>
        <v>166632.1096247742</v>
      </c>
      <c r="K78" s="29">
        <f>Financials!K57+Financials!K62</f>
        <v>179282.62614652445</v>
      </c>
      <c r="L78" s="29">
        <f>Financials!L57+Financials!L62</f>
        <v>192900.07403754117</v>
      </c>
    </row>
    <row r="79" spans="1:12" ht="14.45" customHeight="1" x14ac:dyDescent="0.25">
      <c r="A79" s="26" t="s">
        <v>334</v>
      </c>
      <c r="C79" s="9">
        <v>365</v>
      </c>
      <c r="D79" s="9">
        <v>365</v>
      </c>
      <c r="E79" s="9">
        <v>365</v>
      </c>
      <c r="F79" s="9">
        <v>365</v>
      </c>
      <c r="G79" s="9">
        <v>365</v>
      </c>
      <c r="H79" s="9">
        <v>365</v>
      </c>
      <c r="I79" s="9">
        <v>365</v>
      </c>
      <c r="J79" s="9">
        <v>365</v>
      </c>
      <c r="K79" s="9">
        <v>365</v>
      </c>
      <c r="L79" s="9">
        <v>365</v>
      </c>
    </row>
    <row r="80" spans="1:12" ht="7.9" customHeight="1" x14ac:dyDescent="0.25">
      <c r="A80" s="26"/>
    </row>
    <row r="81" spans="1:12" ht="14.45" customHeight="1" thickBot="1" x14ac:dyDescent="0.3">
      <c r="A81" s="233" t="s">
        <v>347</v>
      </c>
      <c r="B81" s="230"/>
      <c r="C81" s="230">
        <f t="shared" ref="C81:G81" si="20">C77/(C78/C79)</f>
        <v>31.683937012103414</v>
      </c>
      <c r="D81" s="230">
        <f t="shared" si="20"/>
        <v>36.386491795977122</v>
      </c>
      <c r="E81" s="230">
        <f t="shared" si="20"/>
        <v>34.720015430566271</v>
      </c>
      <c r="F81" s="230">
        <f t="shared" si="20"/>
        <v>30.552502981131191</v>
      </c>
      <c r="G81" s="230">
        <f t="shared" si="20"/>
        <v>29.717070260977813</v>
      </c>
      <c r="H81" s="230">
        <f t="shared" ref="H81:L81" si="21">H77/(H78/H79)</f>
        <v>31.438885060629033</v>
      </c>
      <c r="I81" s="230">
        <f t="shared" si="21"/>
        <v>31.460521313760015</v>
      </c>
      <c r="J81" s="230">
        <f t="shared" si="21"/>
        <v>31.460003675958298</v>
      </c>
      <c r="K81" s="230">
        <f t="shared" si="21"/>
        <v>31.459488785831596</v>
      </c>
      <c r="L81" s="230">
        <f t="shared" si="21"/>
        <v>31.458976658143651</v>
      </c>
    </row>
    <row r="82" spans="1:12" ht="14.45" customHeight="1" x14ac:dyDescent="0.25">
      <c r="A82" s="130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spans="1:12" ht="14.45" customHeight="1" x14ac:dyDescent="0.25">
      <c r="A83" s="26"/>
    </row>
    <row r="84" spans="1:12" ht="14.45" customHeight="1" x14ac:dyDescent="0.25">
      <c r="A84" s="111" t="s">
        <v>348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spans="1:12" ht="14.45" customHeight="1" x14ac:dyDescent="0.25">
      <c r="A85" s="23" t="s">
        <v>349</v>
      </c>
      <c r="B85" s="25"/>
      <c r="C85" s="24">
        <f>Financials!C55</f>
        <v>132110</v>
      </c>
      <c r="D85" s="24">
        <f>Financials!D55</f>
        <v>151157</v>
      </c>
      <c r="E85" s="24">
        <f>Financials!E55</f>
        <v>157403</v>
      </c>
      <c r="F85" s="24">
        <f>Financials!F55</f>
        <v>152669</v>
      </c>
      <c r="G85" s="24">
        <f>Financials!G55</f>
        <v>159514</v>
      </c>
      <c r="H85" s="24">
        <f>Financials!H55</f>
        <v>171606.5331731</v>
      </c>
      <c r="I85" s="24">
        <f>Financials!I55</f>
        <v>184622.12321571491</v>
      </c>
      <c r="J85" s="24">
        <f>Financials!J55</f>
        <v>198631.67198089664</v>
      </c>
      <c r="K85" s="24">
        <f>Financials!K55</f>
        <v>213711.55816727196</v>
      </c>
      <c r="L85" s="24">
        <f>Financials!L55</f>
        <v>229944.0625074993</v>
      </c>
    </row>
    <row r="86" spans="1:12" ht="14.45" customHeight="1" x14ac:dyDescent="0.25">
      <c r="A86" s="26" t="s">
        <v>350</v>
      </c>
      <c r="B86" s="25"/>
      <c r="C86" s="25">
        <f>(Financials!B17+Financials!C17)/2</f>
        <v>60908.5</v>
      </c>
      <c r="D86" s="25">
        <f>(Financials!C17+Financials!D17)/2</f>
        <v>71228.5</v>
      </c>
      <c r="E86" s="25">
        <f>(Financials!D17+Financials!E17)/2</f>
        <v>74160.5</v>
      </c>
      <c r="F86" s="25">
        <f>(Financials!E17+Financials!F17)/2</f>
        <v>76487.5</v>
      </c>
      <c r="G86" s="25">
        <f>(Financials!F17+Financials!G17)/2</f>
        <v>86324.5</v>
      </c>
      <c r="H86" s="25">
        <f>(Financials!G17+Financials!H17)/2</f>
        <v>96389.730069751589</v>
      </c>
      <c r="I86" s="25">
        <f>(Financials!H17+Financials!I17)/2</f>
        <v>98015.830306324729</v>
      </c>
      <c r="J86" s="25">
        <f>(Financials!I17+Financials!J17)/2</f>
        <v>102272.87195621141</v>
      </c>
      <c r="K86" s="25">
        <f>(Financials!J17+Financials!K17)/2</f>
        <v>109583.34994547398</v>
      </c>
      <c r="L86" s="25">
        <f>(Financials!K17+Financials!L17)/2</f>
        <v>118772.65196840622</v>
      </c>
    </row>
    <row r="87" spans="1:12" ht="7.9" customHeight="1" x14ac:dyDescent="0.25">
      <c r="A87" s="23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spans="1:12" ht="14.45" customHeight="1" thickBot="1" x14ac:dyDescent="0.3">
      <c r="A88" s="233" t="s">
        <v>351</v>
      </c>
      <c r="B88" s="230"/>
      <c r="C88" s="230">
        <f t="shared" ref="C88:G88" si="22">C85/C86</f>
        <v>2.1689911917055911</v>
      </c>
      <c r="D88" s="230">
        <f t="shared" si="22"/>
        <v>2.1221421200783395</v>
      </c>
      <c r="E88" s="230">
        <f t="shared" si="22"/>
        <v>2.1224641149938308</v>
      </c>
      <c r="F88" s="230">
        <f t="shared" si="22"/>
        <v>1.9959993462984147</v>
      </c>
      <c r="G88" s="230">
        <f t="shared" si="22"/>
        <v>1.8478415745240344</v>
      </c>
      <c r="H88" s="230">
        <f t="shared" ref="H88:L88" si="23">H85/H86</f>
        <v>1.7803404268164091</v>
      </c>
      <c r="I88" s="230">
        <f t="shared" si="23"/>
        <v>1.8835949523533413</v>
      </c>
      <c r="J88" s="230">
        <f t="shared" si="23"/>
        <v>1.9421736006977655</v>
      </c>
      <c r="K88" s="230">
        <f t="shared" si="23"/>
        <v>1.9502192465699364</v>
      </c>
      <c r="L88" s="230">
        <f t="shared" si="23"/>
        <v>1.9360017537426453</v>
      </c>
    </row>
    <row r="89" spans="1:12" ht="14.45" customHeight="1" x14ac:dyDescent="0.25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spans="1:12" ht="14.45" customHeight="1" x14ac:dyDescent="0.25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spans="1:12" ht="14.45" customHeight="1" x14ac:dyDescent="0.25"/>
    <row r="92" spans="1:12" ht="14.45" customHeight="1" x14ac:dyDescent="0.25">
      <c r="A92" s="227" t="s">
        <v>352</v>
      </c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</row>
    <row r="93" spans="1:12" ht="7.9" customHeight="1" x14ac:dyDescent="0.25">
      <c r="A93" s="26" t="s">
        <v>353</v>
      </c>
    </row>
    <row r="94" spans="1:12" x14ac:dyDescent="0.25">
      <c r="A94" s="84" t="s">
        <v>354</v>
      </c>
    </row>
    <row r="95" spans="1:12" x14ac:dyDescent="0.25">
      <c r="A95" s="23" t="s">
        <v>355</v>
      </c>
      <c r="B95" s="24">
        <f>Financials!B59</f>
        <v>37572</v>
      </c>
      <c r="C95" s="24">
        <f>Financials!C59</f>
        <v>44853</v>
      </c>
      <c r="D95" s="24">
        <f>Financials!D59</f>
        <v>50832</v>
      </c>
      <c r="E95" s="24">
        <f>Financials!E59</f>
        <v>52778</v>
      </c>
      <c r="F95" s="24">
        <f>Financials!F59</f>
        <v>50960</v>
      </c>
      <c r="G95" s="24">
        <f>Financials!G59</f>
        <v>53308</v>
      </c>
      <c r="H95" s="24">
        <f>Financials!H59</f>
        <v>57779.919719382771</v>
      </c>
      <c r="I95" s="24">
        <f>Financials!I59</f>
        <v>62162.26888673121</v>
      </c>
      <c r="J95" s="24">
        <f>Financials!J59</f>
        <v>66879.283955967898</v>
      </c>
      <c r="K95" s="24">
        <f>Financials!K59</f>
        <v>71956.681634920475</v>
      </c>
      <c r="L95" s="24">
        <f>Financials!L59</f>
        <v>77422.16584627502</v>
      </c>
    </row>
    <row r="96" spans="1:12" x14ac:dyDescent="0.25">
      <c r="A96" s="26" t="s">
        <v>356</v>
      </c>
      <c r="B96" s="25">
        <f>Financials!B55</f>
        <v>110225</v>
      </c>
      <c r="C96" s="25">
        <f>Financials!C55</f>
        <v>132110</v>
      </c>
      <c r="D96" s="25">
        <f>Financials!D55</f>
        <v>151157</v>
      </c>
      <c r="E96" s="25">
        <f>Financials!E55</f>
        <v>157403</v>
      </c>
      <c r="F96" s="25">
        <f>Financials!F55</f>
        <v>152669</v>
      </c>
      <c r="G96" s="25">
        <f>Financials!G55</f>
        <v>159514</v>
      </c>
      <c r="H96" s="25">
        <f>Financials!H55</f>
        <v>171606.5331731</v>
      </c>
      <c r="I96" s="25">
        <f>Financials!I55</f>
        <v>184622.12321571491</v>
      </c>
      <c r="J96" s="25">
        <f>Financials!J55</f>
        <v>198631.67198089664</v>
      </c>
      <c r="K96" s="25">
        <f>Financials!K55</f>
        <v>213711.55816727196</v>
      </c>
      <c r="L96" s="25">
        <f>Financials!L55</f>
        <v>229944.0625074993</v>
      </c>
    </row>
    <row r="97" spans="1:12" ht="7.9" customHeight="1" x14ac:dyDescent="0.25">
      <c r="A97" s="26"/>
    </row>
    <row r="98" spans="1:12" ht="14.45" customHeight="1" thickBot="1" x14ac:dyDescent="0.3">
      <c r="A98" s="231" t="s">
        <v>357</v>
      </c>
      <c r="B98" s="234">
        <f t="shared" ref="B98:G98" si="24">B95/B96</f>
        <v>0.34086640961669312</v>
      </c>
      <c r="C98" s="234">
        <f t="shared" si="24"/>
        <v>0.33951252743925514</v>
      </c>
      <c r="D98" s="234">
        <f t="shared" si="24"/>
        <v>0.33628611311417927</v>
      </c>
      <c r="E98" s="234">
        <f t="shared" si="24"/>
        <v>0.33530491794946732</v>
      </c>
      <c r="F98" s="234">
        <f t="shared" si="24"/>
        <v>0.33379402498215094</v>
      </c>
      <c r="G98" s="234">
        <f t="shared" si="24"/>
        <v>0.33419010243614983</v>
      </c>
      <c r="H98" s="234">
        <f t="shared" ref="H98:L98" si="25">H95/H96</f>
        <v>0.3367</v>
      </c>
      <c r="I98" s="234">
        <f t="shared" si="25"/>
        <v>0.3367</v>
      </c>
      <c r="J98" s="234">
        <f t="shared" si="25"/>
        <v>0.3367</v>
      </c>
      <c r="K98" s="234">
        <f t="shared" si="25"/>
        <v>0.33670000000000005</v>
      </c>
      <c r="L98" s="234">
        <f t="shared" si="25"/>
        <v>0.3367</v>
      </c>
    </row>
    <row r="99" spans="1:12" ht="14.45" customHeight="1" x14ac:dyDescent="0.25">
      <c r="A99" s="30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</row>
    <row r="100" spans="1:12" ht="14.45" customHeight="1" x14ac:dyDescent="0.25">
      <c r="A100" s="26"/>
    </row>
    <row r="101" spans="1:12" ht="14.45" customHeight="1" x14ac:dyDescent="0.25">
      <c r="A101" s="84" t="s">
        <v>358</v>
      </c>
    </row>
    <row r="102" spans="1:12" ht="14.45" customHeight="1" x14ac:dyDescent="0.25">
      <c r="A102" s="23" t="s">
        <v>359</v>
      </c>
      <c r="B102" s="24">
        <f>Financials!B67</f>
        <v>15843</v>
      </c>
      <c r="C102" s="24">
        <f>Financials!C67</f>
        <v>18278</v>
      </c>
      <c r="D102" s="24">
        <f>Financials!D67</f>
        <v>23040</v>
      </c>
      <c r="E102" s="24">
        <f>Financials!E67</f>
        <v>24039</v>
      </c>
      <c r="F102" s="24">
        <f>Financials!F67</f>
        <v>21689</v>
      </c>
      <c r="G102" s="24">
        <f>Financials!G67</f>
        <v>21526</v>
      </c>
      <c r="H102" s="24">
        <f>Financials!H67</f>
        <v>24334.653049741966</v>
      </c>
      <c r="I102" s="24">
        <f>Financials!I67</f>
        <v>26253.795729622776</v>
      </c>
      <c r="J102" s="24">
        <f>Financials!J67</f>
        <v>28327.583368730469</v>
      </c>
      <c r="K102" s="24">
        <f>Financials!K67</f>
        <v>30568.26683711417</v>
      </c>
      <c r="L102" s="24">
        <f>Financials!L67</f>
        <v>33003.962571608587</v>
      </c>
    </row>
    <row r="103" spans="1:12" ht="14.45" customHeight="1" x14ac:dyDescent="0.25">
      <c r="A103" s="26" t="s">
        <v>360</v>
      </c>
      <c r="B103" s="25">
        <f>Financials!B55</f>
        <v>110225</v>
      </c>
      <c r="C103" s="25">
        <f>Financials!C55</f>
        <v>132110</v>
      </c>
      <c r="D103" s="25">
        <f>Financials!D55</f>
        <v>151157</v>
      </c>
      <c r="E103" s="25">
        <f>Financials!E55</f>
        <v>157403</v>
      </c>
      <c r="F103" s="25">
        <f>Financials!F55</f>
        <v>152669</v>
      </c>
      <c r="G103" s="25">
        <f>Financials!G55</f>
        <v>159514</v>
      </c>
      <c r="H103" s="25">
        <f>Financials!H55</f>
        <v>171606.5331731</v>
      </c>
      <c r="I103" s="25">
        <f>Financials!I55</f>
        <v>184622.12321571491</v>
      </c>
      <c r="J103" s="25">
        <f>Financials!J55</f>
        <v>198631.67198089664</v>
      </c>
      <c r="K103" s="25">
        <f>Financials!K55</f>
        <v>213711.55816727196</v>
      </c>
      <c r="L103" s="25">
        <f>Financials!L55</f>
        <v>229944.0625074993</v>
      </c>
    </row>
    <row r="104" spans="1:12" ht="7.9" customHeight="1" x14ac:dyDescent="0.25">
      <c r="A104" s="26"/>
    </row>
    <row r="105" spans="1:12" ht="15.75" thickBot="1" x14ac:dyDescent="0.3">
      <c r="A105" s="231" t="s">
        <v>361</v>
      </c>
      <c r="B105" s="234">
        <f t="shared" ref="B105:G105" si="26">B102/B103</f>
        <v>0.14373327285098661</v>
      </c>
      <c r="C105" s="234">
        <f t="shared" si="26"/>
        <v>0.13835440163500112</v>
      </c>
      <c r="D105" s="234">
        <f t="shared" si="26"/>
        <v>0.15242430056166767</v>
      </c>
      <c r="E105" s="234">
        <f t="shared" si="26"/>
        <v>0.15272262917479337</v>
      </c>
      <c r="F105" s="234">
        <f t="shared" si="26"/>
        <v>0.14206551428253281</v>
      </c>
      <c r="G105" s="234">
        <f t="shared" si="26"/>
        <v>0.13494740273581002</v>
      </c>
      <c r="H105" s="234">
        <f t="shared" ref="H105:L105" si="27">H102/H103</f>
        <v>0.141804933645478</v>
      </c>
      <c r="I105" s="234">
        <f t="shared" si="27"/>
        <v>0.1422028696904731</v>
      </c>
      <c r="J105" s="234">
        <f t="shared" si="27"/>
        <v>0.14261362795886282</v>
      </c>
      <c r="K105" s="234">
        <f t="shared" si="27"/>
        <v>0.14303515962944971</v>
      </c>
      <c r="L105" s="234">
        <f t="shared" si="27"/>
        <v>0.14353039696570644</v>
      </c>
    </row>
    <row r="106" spans="1:12" x14ac:dyDescent="0.25">
      <c r="A106" s="30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</row>
    <row r="107" spans="1:12" x14ac:dyDescent="0.25">
      <c r="A107" s="26"/>
    </row>
    <row r="108" spans="1:12" x14ac:dyDescent="0.25">
      <c r="A108" s="84" t="s">
        <v>362</v>
      </c>
    </row>
    <row r="109" spans="1:12" x14ac:dyDescent="0.25">
      <c r="A109" s="23" t="s">
        <v>363</v>
      </c>
      <c r="B109" s="24">
        <f>Financials!B79</f>
        <v>11242</v>
      </c>
      <c r="C109" s="24">
        <f>Financials!C79</f>
        <v>12866</v>
      </c>
      <c r="D109" s="24">
        <f>Financials!D79</f>
        <v>16433</v>
      </c>
      <c r="E109" s="24">
        <f>Financials!E79</f>
        <v>17105</v>
      </c>
      <c r="F109" s="24">
        <f>Financials!F79</f>
        <v>15143</v>
      </c>
      <c r="G109" s="24">
        <f>Financials!G79</f>
        <v>14806</v>
      </c>
      <c r="H109" s="24">
        <f>Financials!H79</f>
        <v>16835.31221758882</v>
      </c>
      <c r="I109" s="24">
        <f>Financials!I79</f>
        <v>18386.950523727963</v>
      </c>
      <c r="J109" s="24">
        <f>Financials!J79</f>
        <v>20090.962039158541</v>
      </c>
      <c r="K109" s="24">
        <f>Financials!K79</f>
        <v>21737.190661722485</v>
      </c>
      <c r="L109" s="24">
        <f>Financials!L79</f>
        <v>23353.782102428599</v>
      </c>
    </row>
    <row r="110" spans="1:12" x14ac:dyDescent="0.25">
      <c r="A110" s="26" t="s">
        <v>356</v>
      </c>
      <c r="B110" s="25">
        <f>Financials!B55</f>
        <v>110225</v>
      </c>
      <c r="C110" s="25">
        <f>Financials!C55</f>
        <v>132110</v>
      </c>
      <c r="D110" s="25">
        <f>Financials!D55</f>
        <v>151157</v>
      </c>
      <c r="E110" s="25">
        <f>Financials!E55</f>
        <v>157403</v>
      </c>
      <c r="F110" s="25">
        <f>Financials!F55</f>
        <v>152669</v>
      </c>
      <c r="G110" s="25">
        <f>Financials!G55</f>
        <v>159514</v>
      </c>
      <c r="H110" s="25">
        <f>Financials!H55</f>
        <v>171606.5331731</v>
      </c>
      <c r="I110" s="25">
        <f>Financials!I55</f>
        <v>184622.12321571491</v>
      </c>
      <c r="J110" s="25">
        <f>Financials!J55</f>
        <v>198631.67198089664</v>
      </c>
      <c r="K110" s="25">
        <f>Financials!K55</f>
        <v>213711.55816727196</v>
      </c>
      <c r="L110" s="25">
        <f>Financials!L55</f>
        <v>229944.0625074993</v>
      </c>
    </row>
    <row r="111" spans="1:12" ht="7.9" customHeight="1" x14ac:dyDescent="0.25">
      <c r="A111" s="26"/>
    </row>
    <row r="112" spans="1:12" ht="15.75" thickBot="1" x14ac:dyDescent="0.3">
      <c r="A112" s="231" t="s">
        <v>364</v>
      </c>
      <c r="B112" s="234">
        <f t="shared" ref="B112:G112" si="28">B109/B110</f>
        <v>0.10199138126559311</v>
      </c>
      <c r="C112" s="234">
        <f t="shared" si="28"/>
        <v>9.738853985315267E-2</v>
      </c>
      <c r="D112" s="234">
        <f t="shared" si="28"/>
        <v>0.10871477999695681</v>
      </c>
      <c r="E112" s="234">
        <f t="shared" si="28"/>
        <v>0.10867010158637383</v>
      </c>
      <c r="F112" s="234">
        <f t="shared" si="28"/>
        <v>9.9188440351348342E-2</v>
      </c>
      <c r="G112" s="234">
        <f t="shared" si="28"/>
        <v>9.2819439046102542E-2</v>
      </c>
      <c r="H112" s="234">
        <f t="shared" ref="H112:L112" si="29">H109/H110</f>
        <v>9.8104145024636047E-2</v>
      </c>
      <c r="I112" s="234">
        <f t="shared" si="29"/>
        <v>9.959234680799553E-2</v>
      </c>
      <c r="J112" s="234">
        <f t="shared" si="29"/>
        <v>0.10114682033734673</v>
      </c>
      <c r="K112" s="234">
        <f t="shared" si="29"/>
        <v>0.10171275174882584</v>
      </c>
      <c r="L112" s="234">
        <f t="shared" si="29"/>
        <v>0.10156288380643422</v>
      </c>
    </row>
    <row r="113" spans="1:12" x14ac:dyDescent="0.25">
      <c r="A113" s="30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</row>
    <row r="114" spans="1:12" x14ac:dyDescent="0.25">
      <c r="A114" s="26"/>
    </row>
    <row r="115" spans="1:12" x14ac:dyDescent="0.25">
      <c r="A115" s="84" t="s">
        <v>365</v>
      </c>
    </row>
    <row r="116" spans="1:12" x14ac:dyDescent="0.25">
      <c r="A116" s="23" t="s">
        <v>366</v>
      </c>
      <c r="B116" s="24">
        <f>Financials!B77</f>
        <v>3473</v>
      </c>
      <c r="C116" s="24">
        <f>Financials!C77</f>
        <v>4112</v>
      </c>
      <c r="D116" s="24">
        <f>Financials!D77</f>
        <v>5304</v>
      </c>
      <c r="E116" s="24">
        <f>Financials!E77</f>
        <v>5372</v>
      </c>
      <c r="F116" s="24">
        <f>Financials!F77</f>
        <v>4781</v>
      </c>
      <c r="G116" s="24">
        <f>Financials!G77</f>
        <v>4600</v>
      </c>
      <c r="H116" s="24">
        <f>Financials!H77</f>
        <v>5307.6737321531491</v>
      </c>
      <c r="I116" s="24">
        <f>Financials!I77</f>
        <v>5796.8591878700418</v>
      </c>
      <c r="J116" s="24">
        <f>Financials!J77</f>
        <v>6334.0833891704624</v>
      </c>
      <c r="K116" s="24">
        <f>Financials!K77</f>
        <v>6853.0903611927924</v>
      </c>
      <c r="L116" s="24">
        <f>Financials!L77</f>
        <v>7362.7536103539851</v>
      </c>
    </row>
    <row r="117" spans="1:12" x14ac:dyDescent="0.25">
      <c r="A117" s="26" t="s">
        <v>367</v>
      </c>
      <c r="B117" s="25">
        <f>Financials!B75</f>
        <v>14715</v>
      </c>
      <c r="C117" s="25">
        <f>Financials!C75</f>
        <v>16978</v>
      </c>
      <c r="D117" s="25">
        <f>Financials!D75</f>
        <v>21737</v>
      </c>
      <c r="E117" s="25">
        <f>Financials!E75</f>
        <v>22477</v>
      </c>
      <c r="F117" s="25">
        <f>Financials!F75</f>
        <v>19924</v>
      </c>
      <c r="G117" s="25">
        <f>Financials!G75</f>
        <v>19406</v>
      </c>
      <c r="H117" s="25">
        <f>Financials!H75</f>
        <v>22142.985949741967</v>
      </c>
      <c r="I117" s="25">
        <f>Financials!I75</f>
        <v>24183.809711598005</v>
      </c>
      <c r="J117" s="25">
        <f>Financials!J75</f>
        <v>26425.045428329006</v>
      </c>
      <c r="K117" s="25">
        <f>Financials!K75</f>
        <v>28590.281022915278</v>
      </c>
      <c r="L117" s="25">
        <f>Financials!L75</f>
        <v>30716.535712782585</v>
      </c>
    </row>
    <row r="118" spans="1:12" ht="7.5" customHeight="1" x14ac:dyDescent="0.25">
      <c r="A118" s="26"/>
    </row>
    <row r="119" spans="1:12" ht="15.75" thickBot="1" x14ac:dyDescent="0.3">
      <c r="A119" s="231" t="s">
        <v>368</v>
      </c>
      <c r="B119" s="234">
        <f>B116/B117</f>
        <v>0.23601766904519197</v>
      </c>
      <c r="C119" s="234">
        <f t="shared" ref="C119:L119" si="30">C116/C117</f>
        <v>0.24219578277771234</v>
      </c>
      <c r="D119" s="234">
        <f t="shared" si="30"/>
        <v>0.244007912775452</v>
      </c>
      <c r="E119" s="234">
        <f t="shared" si="30"/>
        <v>0.23899986653023089</v>
      </c>
      <c r="F119" s="234">
        <f t="shared" si="30"/>
        <v>0.23996185504918691</v>
      </c>
      <c r="G119" s="234">
        <f t="shared" si="30"/>
        <v>0.23704009069359991</v>
      </c>
      <c r="H119" s="234">
        <f t="shared" si="30"/>
        <v>0.23969999999999997</v>
      </c>
      <c r="I119" s="234">
        <f t="shared" si="30"/>
        <v>0.2397</v>
      </c>
      <c r="J119" s="234">
        <f t="shared" si="30"/>
        <v>0.2397</v>
      </c>
      <c r="K119" s="234">
        <f t="shared" si="30"/>
        <v>0.2397</v>
      </c>
      <c r="L119" s="234">
        <f t="shared" si="30"/>
        <v>0.2397</v>
      </c>
    </row>
    <row r="120" spans="1:12" x14ac:dyDescent="0.25">
      <c r="A120" s="30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</row>
    <row r="121" spans="1:12" x14ac:dyDescent="0.25">
      <c r="A121" s="26"/>
      <c r="B121" s="81"/>
      <c r="C121" s="22"/>
      <c r="D121" s="22"/>
      <c r="E121" s="22"/>
      <c r="F121" s="22"/>
      <c r="G121" s="22"/>
      <c r="H121" s="22"/>
      <c r="I121" s="22"/>
      <c r="J121" s="22"/>
      <c r="K121" s="22"/>
      <c r="L121" s="22"/>
    </row>
    <row r="122" spans="1:12" x14ac:dyDescent="0.25">
      <c r="A122" s="84" t="s">
        <v>369</v>
      </c>
    </row>
    <row r="123" spans="1:12" x14ac:dyDescent="0.25">
      <c r="A123" s="23" t="s">
        <v>370</v>
      </c>
      <c r="B123" s="25"/>
      <c r="C123" s="24">
        <f>Financials!C79+(Financials!C71 * (1-C119))</f>
        <v>13886.762280598421</v>
      </c>
      <c r="D123" s="24">
        <f>Financials!D79+(Financials!D71 * (1-D119))</f>
        <v>17451.321341491464</v>
      </c>
      <c r="E123" s="24">
        <f>Financials!E79+(Financials!E71 * (1-E119))</f>
        <v>18335.537215820616</v>
      </c>
      <c r="F123" s="24">
        <f>Financials!F79+(Financials!F71 * (1-F119))</f>
        <v>16619.754115639429</v>
      </c>
      <c r="G123" s="24">
        <f>Financials!G79+(Financials!G71 * (1-G119))</f>
        <v>16576.829949500156</v>
      </c>
      <c r="H123" s="24">
        <f>Financials!H79+(Financials!H71 * (1-H119))</f>
        <v>18501.636713718821</v>
      </c>
      <c r="I123" s="24">
        <f>Financials!I79+(Financials!I71 * (1-I119))</f>
        <v>19909.398432877962</v>
      </c>
      <c r="J123" s="24">
        <f>Financials!J79+(Financials!J71 * (1-J119))</f>
        <v>21461.27505875854</v>
      </c>
      <c r="K123" s="24">
        <f>Financials!K79+(Financials!K71 * (1-K119))</f>
        <v>22989.155611412483</v>
      </c>
      <c r="L123" s="24">
        <f>Financials!L79+(Financials!L71 * (1-L119))</f>
        <v>24520.1181885886</v>
      </c>
    </row>
    <row r="124" spans="1:12" x14ac:dyDescent="0.25">
      <c r="A124" s="26" t="s">
        <v>371</v>
      </c>
      <c r="B124" s="25"/>
      <c r="C124" s="25">
        <f>(Financials!B17+Financials!C17)/2</f>
        <v>60908.5</v>
      </c>
      <c r="D124" s="25">
        <f>(Financials!C17+Financials!D17)/2</f>
        <v>71228.5</v>
      </c>
      <c r="E124" s="25">
        <f>(Financials!D17+Financials!E17)/2</f>
        <v>74160.5</v>
      </c>
      <c r="F124" s="25">
        <f>(Financials!E17+Financials!F17)/2</f>
        <v>76487.5</v>
      </c>
      <c r="G124" s="25">
        <f>(Financials!F17+Financials!G17)/2</f>
        <v>86324.5</v>
      </c>
      <c r="H124" s="25">
        <f>(Financials!G17+Financials!H17)/2</f>
        <v>96389.730069751589</v>
      </c>
      <c r="I124" s="25">
        <f>(Financials!H17+Financials!I17)/2</f>
        <v>98015.830306324729</v>
      </c>
      <c r="J124" s="25">
        <f>(Financials!I17+Financials!J17)/2</f>
        <v>102272.87195621141</v>
      </c>
      <c r="K124" s="25">
        <f>(Financials!J17+Financials!K17)/2</f>
        <v>109583.34994547398</v>
      </c>
      <c r="L124" s="25">
        <f>(Financials!K17+Financials!L17)/2</f>
        <v>118772.65196840622</v>
      </c>
    </row>
    <row r="125" spans="1:12" ht="7.5" customHeight="1" x14ac:dyDescent="0.25">
      <c r="A125" s="26"/>
    </row>
    <row r="126" spans="1:12" ht="15.75" thickBot="1" x14ac:dyDescent="0.3">
      <c r="A126" s="231" t="s">
        <v>372</v>
      </c>
      <c r="B126" s="234"/>
      <c r="C126" s="234">
        <f t="shared" ref="C126:G126" si="31">C123/C124</f>
        <v>0.22799383141266688</v>
      </c>
      <c r="D126" s="234">
        <f t="shared" si="31"/>
        <v>0.2450047571055331</v>
      </c>
      <c r="E126" s="234">
        <f t="shared" si="31"/>
        <v>0.24724128364588446</v>
      </c>
      <c r="F126" s="234">
        <f t="shared" si="31"/>
        <v>0.21728719222931106</v>
      </c>
      <c r="G126" s="234">
        <f t="shared" si="31"/>
        <v>0.19202926109621435</v>
      </c>
      <c r="H126" s="234">
        <f t="shared" ref="H126:L126" si="32">H123/H124</f>
        <v>0.19194614094603515</v>
      </c>
      <c r="I126" s="234">
        <f t="shared" si="32"/>
        <v>0.20312431543614906</v>
      </c>
      <c r="J126" s="234">
        <f t="shared" si="32"/>
        <v>0.20984328149059195</v>
      </c>
      <c r="K126" s="234">
        <f t="shared" si="32"/>
        <v>0.20978693955652322</v>
      </c>
      <c r="L126" s="234">
        <f t="shared" si="32"/>
        <v>0.20644582555175248</v>
      </c>
    </row>
    <row r="127" spans="1:12" x14ac:dyDescent="0.25">
      <c r="A127" s="30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</row>
    <row r="128" spans="1:12" x14ac:dyDescent="0.25">
      <c r="A128" s="26"/>
      <c r="B128" s="81"/>
      <c r="C128" s="22"/>
      <c r="D128" s="22"/>
      <c r="E128" s="22"/>
      <c r="F128" s="22"/>
      <c r="G128" s="22"/>
      <c r="H128" s="22"/>
      <c r="I128" s="22"/>
      <c r="J128" s="22"/>
      <c r="K128" s="22"/>
      <c r="L128" s="22"/>
    </row>
    <row r="129" spans="1:19" x14ac:dyDescent="0.25">
      <c r="A129" s="84" t="s">
        <v>373</v>
      </c>
      <c r="B129" s="81"/>
      <c r="C129" s="22"/>
      <c r="D129" s="22"/>
      <c r="E129" s="22"/>
      <c r="F129" s="22"/>
      <c r="G129" s="22"/>
      <c r="H129" s="22"/>
      <c r="I129" s="22"/>
      <c r="J129" s="22"/>
      <c r="K129" s="22"/>
      <c r="L129" s="22"/>
    </row>
    <row r="130" spans="1:19" x14ac:dyDescent="0.25">
      <c r="A130" s="23" t="s">
        <v>374</v>
      </c>
      <c r="B130" s="81"/>
      <c r="C130" s="80">
        <f>Financials!C67*(1-(C119))</f>
        <v>13851.145482388973</v>
      </c>
      <c r="D130" s="80">
        <f>Financials!D67*(1-(D119))</f>
        <v>17418.057689653586</v>
      </c>
      <c r="E130" s="80">
        <f>Financials!E67*(1-(E119))</f>
        <v>18293.682208479779</v>
      </c>
      <c r="F130" s="80">
        <f>Financials!F67*(1-(F119))</f>
        <v>16484.467325838184</v>
      </c>
      <c r="G130" s="80">
        <f>Financials!G67*(1-(G119))</f>
        <v>16423.475007729568</v>
      </c>
      <c r="H130" s="80">
        <f>Financials!H67*(1-(H119))</f>
        <v>18501.636713718817</v>
      </c>
      <c r="I130" s="80">
        <f>Financials!I67*(1-(I119))</f>
        <v>19960.760893232196</v>
      </c>
      <c r="J130" s="80">
        <f>Financials!J67*(1-(J119))</f>
        <v>21537.461635245774</v>
      </c>
      <c r="K130" s="80">
        <f>Financials!K67*(1-(K119))</f>
        <v>23241.053276257902</v>
      </c>
      <c r="L130" s="80">
        <f>Financials!L67*(1-(L119))</f>
        <v>25092.912743194007</v>
      </c>
      <c r="N130" s="82"/>
      <c r="O130" s="82"/>
      <c r="P130" s="82"/>
      <c r="Q130" s="82"/>
      <c r="R130" s="82"/>
      <c r="S130" s="82"/>
    </row>
    <row r="131" spans="1:19" x14ac:dyDescent="0.25">
      <c r="A131" s="26" t="s">
        <v>371</v>
      </c>
      <c r="B131" s="81"/>
      <c r="C131" s="70">
        <f>(Financials!B17+Financials!C17)/2</f>
        <v>60908.5</v>
      </c>
      <c r="D131" s="70">
        <f>(Financials!C17+Financials!D17)/2</f>
        <v>71228.5</v>
      </c>
      <c r="E131" s="70">
        <f>(Financials!D17+Financials!E17)/2</f>
        <v>74160.5</v>
      </c>
      <c r="F131" s="70">
        <f>(Financials!E17+Financials!F17)/2</f>
        <v>76487.5</v>
      </c>
      <c r="G131" s="70">
        <f>(Financials!F17+Financials!G17)/2</f>
        <v>86324.5</v>
      </c>
      <c r="H131" s="70">
        <f>(Financials!G17+Financials!H17)/2</f>
        <v>96389.730069751589</v>
      </c>
      <c r="I131" s="70">
        <f>(Financials!H17+Financials!I17)/2</f>
        <v>98015.830306324729</v>
      </c>
      <c r="J131" s="70">
        <f>(Financials!I17+Financials!J17)/2</f>
        <v>102272.87195621141</v>
      </c>
      <c r="K131" s="70">
        <f>(Financials!J17+Financials!K17)/2</f>
        <v>109583.34994547398</v>
      </c>
      <c r="L131" s="70">
        <f>(Financials!K17+Financials!L17)/2</f>
        <v>118772.65196840622</v>
      </c>
    </row>
    <row r="132" spans="1:19" ht="7.5" customHeight="1" x14ac:dyDescent="0.25">
      <c r="A132" s="26"/>
      <c r="B132" s="81"/>
      <c r="C132" s="70"/>
      <c r="D132" s="70"/>
      <c r="E132" s="70"/>
      <c r="F132" s="70"/>
      <c r="G132" s="70"/>
      <c r="H132" s="70"/>
      <c r="I132" s="70"/>
      <c r="J132" s="70"/>
      <c r="K132" s="70"/>
      <c r="L132" s="70"/>
    </row>
    <row r="133" spans="1:19" ht="15.75" thickBot="1" x14ac:dyDescent="0.3">
      <c r="A133" s="231" t="s">
        <v>375</v>
      </c>
      <c r="B133" s="234"/>
      <c r="C133" s="234">
        <f>C130/C131</f>
        <v>0.22740907233619237</v>
      </c>
      <c r="D133" s="234">
        <f t="shared" ref="D133:L133" si="33">D130/D131</f>
        <v>0.24453775791507032</v>
      </c>
      <c r="E133" s="234">
        <f t="shared" si="33"/>
        <v>0.24667689954193645</v>
      </c>
      <c r="F133" s="234">
        <f t="shared" si="33"/>
        <v>0.21551844845024593</v>
      </c>
      <c r="G133" s="234">
        <f t="shared" si="33"/>
        <v>0.19025276726456067</v>
      </c>
      <c r="H133" s="234">
        <f t="shared" si="33"/>
        <v>0.1919461409460351</v>
      </c>
      <c r="I133" s="234">
        <f t="shared" si="33"/>
        <v>0.2036483375272104</v>
      </c>
      <c r="J133" s="234">
        <f t="shared" si="33"/>
        <v>0.21058821585128787</v>
      </c>
      <c r="K133" s="234">
        <f t="shared" si="33"/>
        <v>0.21208562512299622</v>
      </c>
      <c r="L133" s="234">
        <f t="shared" si="33"/>
        <v>0.21126843871322143</v>
      </c>
    </row>
    <row r="134" spans="1:19" x14ac:dyDescent="0.25">
      <c r="A134" s="30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</row>
    <row r="135" spans="1:19" x14ac:dyDescent="0.25">
      <c r="A135" s="26"/>
      <c r="B135" s="81"/>
      <c r="C135" s="22"/>
      <c r="D135" s="22"/>
      <c r="E135" s="22"/>
      <c r="F135" s="22"/>
      <c r="G135" s="22"/>
      <c r="H135" s="22"/>
      <c r="I135" s="22"/>
      <c r="J135" s="22"/>
      <c r="K135" s="22"/>
      <c r="L135" s="22"/>
    </row>
    <row r="136" spans="1:19" x14ac:dyDescent="0.25">
      <c r="A136" s="84" t="s">
        <v>376</v>
      </c>
    </row>
    <row r="137" spans="1:19" x14ac:dyDescent="0.25">
      <c r="A137" s="23" t="s">
        <v>377</v>
      </c>
      <c r="B137" s="25"/>
      <c r="C137" s="24">
        <f>Financials!C79</f>
        <v>12866</v>
      </c>
      <c r="D137" s="24">
        <f>Financials!D79</f>
        <v>16433</v>
      </c>
      <c r="E137" s="24">
        <f>Financials!E79</f>
        <v>17105</v>
      </c>
      <c r="F137" s="24">
        <f>Financials!F79</f>
        <v>15143</v>
      </c>
      <c r="G137" s="24">
        <f>Financials!G79</f>
        <v>14806</v>
      </c>
      <c r="H137" s="24">
        <f>Financials!H79</f>
        <v>16835.31221758882</v>
      </c>
      <c r="I137" s="24">
        <f>Financials!I79</f>
        <v>18386.950523727963</v>
      </c>
      <c r="J137" s="24">
        <f>Financials!J79</f>
        <v>20090.962039158541</v>
      </c>
      <c r="K137" s="24">
        <f>Financials!K79</f>
        <v>21737.190661722485</v>
      </c>
      <c r="L137" s="24">
        <f>Financials!L79</f>
        <v>23353.782102428599</v>
      </c>
    </row>
    <row r="138" spans="1:19" x14ac:dyDescent="0.25">
      <c r="A138" s="26" t="s">
        <v>378</v>
      </c>
      <c r="B138" s="25"/>
      <c r="C138" s="25">
        <f>(Financials!B44+Financials!C44)/2</f>
        <v>91.5</v>
      </c>
      <c r="D138" s="25">
        <f>(Financials!C44+Financials!D44)/2</f>
        <v>801.5</v>
      </c>
      <c r="E138" s="25">
        <f>(Financials!D44+Financials!E44)/2</f>
        <v>-67</v>
      </c>
      <c r="F138" s="25">
        <f>(Financials!E44+Financials!F44)/2</f>
        <v>1303</v>
      </c>
      <c r="G138" s="25">
        <f>(Financials!F44+Financials!G44)/2</f>
        <v>3842</v>
      </c>
      <c r="H138" s="25">
        <f>(Financials!G44+Financials!H44)/2</f>
        <v>8542.460390737775</v>
      </c>
      <c r="I138" s="25">
        <f>(Financials!H44+Financials!I44)/2</f>
        <v>13198.89937101437</v>
      </c>
      <c r="J138" s="25">
        <f>(Financials!I44+Financials!J44)/2</f>
        <v>19635.443590438066</v>
      </c>
      <c r="K138" s="25">
        <f>(Financials!J44+Financials!K44)/2</f>
        <v>27902.650941919463</v>
      </c>
      <c r="L138" s="25">
        <f>(Financials!K44+Financials!L44)/2</f>
        <v>37961.973418976399</v>
      </c>
    </row>
    <row r="139" spans="1:19" ht="7.9" customHeight="1" x14ac:dyDescent="0.25"/>
    <row r="140" spans="1:19" ht="15.75" thickBot="1" x14ac:dyDescent="0.3">
      <c r="A140" s="231" t="s">
        <v>379</v>
      </c>
      <c r="B140" s="234"/>
      <c r="C140" s="234">
        <f t="shared" ref="C140:G140" si="34">C137/C138</f>
        <v>140.61202185792351</v>
      </c>
      <c r="D140" s="234">
        <f t="shared" si="34"/>
        <v>20.502807236431689</v>
      </c>
      <c r="E140" s="234">
        <f t="shared" si="34"/>
        <v>-255.29850746268656</v>
      </c>
      <c r="F140" s="234">
        <f t="shared" si="34"/>
        <v>11.621642363775901</v>
      </c>
      <c r="G140" s="234">
        <f t="shared" si="34"/>
        <v>3.853722019781364</v>
      </c>
      <c r="H140" s="234">
        <f t="shared" ref="H140:L140" si="35">H137/H138</f>
        <v>1.9707802491940882</v>
      </c>
      <c r="I140" s="234">
        <f t="shared" si="35"/>
        <v>1.393066952545065</v>
      </c>
      <c r="J140" s="234">
        <f t="shared" si="35"/>
        <v>1.0231987857377616</v>
      </c>
      <c r="K140" s="234">
        <f t="shared" si="35"/>
        <v>0.77903675557456376</v>
      </c>
      <c r="L140" s="234">
        <f t="shared" si="35"/>
        <v>0.61518883237915467</v>
      </c>
    </row>
  </sheetData>
  <mergeCells count="2">
    <mergeCell ref="B1:G1"/>
    <mergeCell ref="H1:L1"/>
  </mergeCells>
  <pageMargins left="0.17" right="0.16" top="0.23" bottom="0.18" header="0.18" footer="0.17"/>
  <pageSetup orientation="portrait" r:id="rId1"/>
  <rowBreaks count="2" manualBreakCount="2">
    <brk id="50" max="16383" man="1"/>
    <brk id="9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1"/>
  <sheetViews>
    <sheetView zoomScale="110" zoomScaleNormal="110" workbookViewId="0">
      <pane xSplit="1" ySplit="2" topLeftCell="I3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39.7109375" customWidth="1"/>
    <col min="2" max="2" width="9.7109375" style="16" customWidth="1"/>
    <col min="3" max="3" width="10.42578125" style="16" bestFit="1" customWidth="1"/>
    <col min="4" max="12" width="9.7109375" style="16" customWidth="1"/>
  </cols>
  <sheetData>
    <row r="1" spans="1:14" s="2" customFormat="1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4" ht="15.75" thickBot="1" x14ac:dyDescent="0.3">
      <c r="A2" s="11" t="s">
        <v>380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4" x14ac:dyDescent="0.25">
      <c r="A3" s="2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4" x14ac:dyDescent="0.25">
      <c r="A4" s="6" t="s">
        <v>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N4" s="6"/>
    </row>
    <row r="5" spans="1:14" x14ac:dyDescent="0.25">
      <c r="A5" t="s">
        <v>5</v>
      </c>
      <c r="B5" s="68"/>
      <c r="C5" s="147">
        <f>(Financials!C5-Financials!B5)/Financials!B5</f>
        <v>2.7013595874355367</v>
      </c>
      <c r="D5" s="147">
        <f>(Financials!D5-Financials!C5)/Financials!C5</f>
        <v>-0.70322989233692212</v>
      </c>
      <c r="E5" s="147">
        <f>(Financials!E5-Financials!D5)/Financials!D5</f>
        <v>0.17669654289372599</v>
      </c>
      <c r="F5" s="147">
        <f>(Financials!F5-Financials!E5)/Financials!E5</f>
        <v>0.3638012332245194</v>
      </c>
      <c r="G5" s="147">
        <f>(Financials!G5-Financials!F5)/Financials!F5</f>
        <v>-0.55877659574468086</v>
      </c>
      <c r="H5" s="156">
        <f>(Financials!H5-Financials!G5)/Financials!G5</f>
        <v>0.56720916214587103</v>
      </c>
      <c r="I5" s="156">
        <f>(Financials!I5-Financials!H5)/Financials!H5</f>
        <v>0</v>
      </c>
      <c r="J5" s="156">
        <f>(Financials!J5-Financials!I5)/Financials!I5</f>
        <v>0</v>
      </c>
      <c r="K5" s="156">
        <f>(Financials!K5-Financials!J5)/Financials!J5</f>
        <v>0</v>
      </c>
      <c r="L5" s="156">
        <f>(Financials!L5-Financials!K5)/Financials!K5</f>
        <v>0</v>
      </c>
    </row>
    <row r="6" spans="1:14" x14ac:dyDescent="0.25">
      <c r="A6" t="s">
        <v>6</v>
      </c>
      <c r="B6" s="68"/>
      <c r="C6" s="147"/>
      <c r="D6" s="147"/>
      <c r="E6" s="147"/>
      <c r="F6" s="147"/>
      <c r="G6" s="147"/>
      <c r="H6" s="156"/>
      <c r="I6" s="156"/>
      <c r="J6" s="156"/>
      <c r="K6" s="156"/>
      <c r="L6" s="156"/>
    </row>
    <row r="7" spans="1:14" x14ac:dyDescent="0.25">
      <c r="A7" t="s">
        <v>7</v>
      </c>
      <c r="B7" s="68"/>
      <c r="C7" s="147">
        <f>(Financials!C7-Financials!B7)/Financials!B7</f>
        <v>0.42070275403608737</v>
      </c>
      <c r="D7" s="147">
        <f>(Financials!D7-Financials!C7)/Financials!C7</f>
        <v>0.14505347593582887</v>
      </c>
      <c r="E7" s="147">
        <f>(Financials!E7-Financials!D7)/Financials!D7</f>
        <v>-3.1815528312901339E-2</v>
      </c>
      <c r="F7" s="147">
        <f>(Financials!F7-Financials!E7)/Financials!E7</f>
        <v>3.3162496231534519E-3</v>
      </c>
      <c r="G7" s="147">
        <f>(Financials!G7-Financials!F7)/Financials!F7</f>
        <v>0.47325721153846156</v>
      </c>
      <c r="H7" s="156">
        <f>(Financials!H7-Financials!G7)/Financials!G7</f>
        <v>-0.23382877128452581</v>
      </c>
      <c r="I7" s="156">
        <f>(Financials!I7-Financials!H7)/Financials!H7</f>
        <v>7.5845539222484243E-2</v>
      </c>
      <c r="J7" s="156">
        <f>(Financials!J7-Financials!I7)/Financials!I7</f>
        <v>7.5882286050912823E-2</v>
      </c>
      <c r="K7" s="156">
        <f>(Financials!K7-Financials!J7)/Financials!J7</f>
        <v>7.5918840313772523E-2</v>
      </c>
      <c r="L7" s="156">
        <f>(Financials!L7-Financials!K7)/Financials!K7</f>
        <v>7.5955200923303032E-2</v>
      </c>
    </row>
    <row r="8" spans="1:14" x14ac:dyDescent="0.25">
      <c r="A8" t="s">
        <v>8</v>
      </c>
      <c r="B8" s="68"/>
      <c r="C8" s="147">
        <f>(Financials!C8-Financials!B8)/Financials!B8</f>
        <v>0.14424334182093457</v>
      </c>
      <c r="D8" s="147">
        <f>(Financials!D8-Financials!C8)/Financials!C8</f>
        <v>0.32723882841161966</v>
      </c>
      <c r="E8" s="147">
        <f>(Financials!E8-Financials!D8)/Financials!D8</f>
        <v>0.12769621170926229</v>
      </c>
      <c r="F8" s="147">
        <f>(Financials!F8-Financials!E8)/Financials!E8</f>
        <v>-0.15711645101663585</v>
      </c>
      <c r="G8" s="147">
        <f>(Financials!G8-Financials!F8)/Financials!F8</f>
        <v>0.11799199084668192</v>
      </c>
      <c r="H8" s="156">
        <f>(Financials!H8-Financials!G8)/Financials!G8</f>
        <v>-7.4015579653382152E-3</v>
      </c>
      <c r="I8" s="156">
        <f>(Financials!I8-Financials!H8)/Financials!H8</f>
        <v>7.5845539222484229E-2</v>
      </c>
      <c r="J8" s="156">
        <f>(Financials!J8-Financials!I8)/Financials!I8</f>
        <v>7.5882286050912781E-2</v>
      </c>
      <c r="K8" s="156">
        <f>(Financials!K8-Financials!J8)/Financials!J8</f>
        <v>7.5918840313772357E-2</v>
      </c>
      <c r="L8" s="156">
        <f>(Financials!L8-Financials!K8)/Financials!K8</f>
        <v>7.5955200923303295E-2</v>
      </c>
    </row>
    <row r="9" spans="1:14" x14ac:dyDescent="0.25">
      <c r="A9" t="s">
        <v>9</v>
      </c>
      <c r="B9" s="68"/>
      <c r="C9" s="148">
        <f>(Financials!C9-Financials!B9)/Financials!B9</f>
        <v>-7.4038461538461539E-2</v>
      </c>
      <c r="D9" s="148">
        <f>(Financials!D9-Financials!C9)/Financials!C9</f>
        <v>0.26479750778816197</v>
      </c>
      <c r="E9" s="148">
        <f>(Financials!E9-Financials!D9)/Financials!D9</f>
        <v>0.24055829228243022</v>
      </c>
      <c r="F9" s="148">
        <f>(Financials!F9-Financials!E9)/Financials!E9</f>
        <v>0.13236267372600927</v>
      </c>
      <c r="G9" s="148">
        <f>(Financials!G9-Financials!F9)/Financials!F9</f>
        <v>-2.396259497369959E-2</v>
      </c>
      <c r="H9" s="157">
        <f>(Financials!H9-Financials!G9)/Financials!G9</f>
        <v>-4.4346851191718592E-2</v>
      </c>
      <c r="I9" s="157">
        <f>(Financials!I9-Financials!H9)/Financials!H9</f>
        <v>7.5845539222484173E-2</v>
      </c>
      <c r="J9" s="157">
        <f>(Financials!J9-Financials!I9)/Financials!I9</f>
        <v>7.5882286050912795E-2</v>
      </c>
      <c r="K9" s="157">
        <f>(Financials!K9-Financials!J9)/Financials!J9</f>
        <v>7.5918840313772398E-2</v>
      </c>
      <c r="L9" s="157">
        <f>(Financials!L9-Financials!K9)/Financials!K9</f>
        <v>7.595520092330324E-2</v>
      </c>
    </row>
    <row r="10" spans="1:14" x14ac:dyDescent="0.25">
      <c r="A10" s="8" t="s">
        <v>10</v>
      </c>
      <c r="B10" s="68"/>
      <c r="C10" s="147">
        <f>(Financials!C10-Financials!B10)/Financials!B10</f>
        <v>0.43750630994447248</v>
      </c>
      <c r="D10" s="147">
        <f>(Financials!D10-Financials!C10)/Financials!C10</f>
        <v>2.0297081855532535E-2</v>
      </c>
      <c r="E10" s="147">
        <f>(Financials!E10-Financials!D10)/Financials!D10</f>
        <v>0.1175701256238169</v>
      </c>
      <c r="F10" s="147">
        <f>(Financials!F10-Financials!E10)/Financials!E10</f>
        <v>-8.3027932616796529E-2</v>
      </c>
      <c r="G10" s="147">
        <f>(Financials!G10-Financials!F10)/Financials!F10</f>
        <v>6.4080604534005034E-2</v>
      </c>
      <c r="H10" s="156">
        <f>(Financials!H10-Financials!G10)/Financials!G10</f>
        <v>1.6159555155191702E-2</v>
      </c>
      <c r="I10" s="156">
        <f>(Financials!I10-Financials!H10)/Financials!H10</f>
        <v>8.1934664292013279E-2</v>
      </c>
      <c r="J10" s="156">
        <f>(Financials!J10-Financials!I10)/Financials!I10</f>
        <v>0.1618819885424328</v>
      </c>
      <c r="K10" s="156">
        <f>(Financials!K10-Financials!J10)/Financials!J10</f>
        <v>0.21114424660345918</v>
      </c>
      <c r="L10" s="156">
        <f>(Financials!L10-Financials!K10)/Financials!K10</f>
        <v>0.18663625248192547</v>
      </c>
    </row>
    <row r="11" spans="1:14" x14ac:dyDescent="0.25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</row>
    <row r="12" spans="1:14" x14ac:dyDescent="0.25">
      <c r="A12" t="s">
        <v>11</v>
      </c>
      <c r="B12" s="68"/>
      <c r="C12" s="147">
        <f>(Financials!C12-Financials!B12)/Financials!B12</f>
        <v>8.4980237154150193E-2</v>
      </c>
      <c r="D12" s="147">
        <f>(Financials!D12-Financials!C12)/Financials!C12</f>
        <v>1.9995952236389395E-2</v>
      </c>
      <c r="E12" s="147">
        <f>(Financials!E12-Financials!D12)/Financials!D12</f>
        <v>1.7143537441961981E-2</v>
      </c>
      <c r="F12" s="147">
        <f>(Financials!F12-Financials!E12)/Financials!E12</f>
        <v>2.0404978346533494E-2</v>
      </c>
      <c r="G12" s="147">
        <f>(Financials!G12-Financials!F12)/Financials!F12</f>
        <v>2.0952817924600443E-2</v>
      </c>
      <c r="H12" s="156">
        <f>(Financials!H12-Financials!G12)/Financials!G12</f>
        <v>1.8509757854927852E-2</v>
      </c>
      <c r="I12" s="156">
        <f>(Financials!I12-Financials!H12)/Financials!H12</f>
        <v>2.0858945267705698E-2</v>
      </c>
      <c r="J12" s="156">
        <f>(Financials!J12-Financials!I12)/Financials!I12</f>
        <v>2.3285437592946004E-2</v>
      </c>
      <c r="K12" s="156">
        <f>(Financials!K12-Financials!J12)/Financials!J12</f>
        <v>2.577930917385185E-2</v>
      </c>
      <c r="L12" s="156">
        <f>(Financials!L12-Financials!K12)/Financials!K12</f>
        <v>2.8329405959863701E-2</v>
      </c>
      <c r="N12" s="8"/>
    </row>
    <row r="13" spans="1:14" x14ac:dyDescent="0.25">
      <c r="A13" t="s">
        <v>12</v>
      </c>
      <c r="B13" s="68"/>
      <c r="C13" s="147"/>
      <c r="D13" s="147">
        <f>(Financials!D13-Financials!C13)/Financials!C13</f>
        <v>1.0063737001006373E-3</v>
      </c>
      <c r="E13" s="147">
        <f>(Financials!E13-Financials!D13)/Financials!D13</f>
        <v>0.16303619302949063</v>
      </c>
      <c r="F13" s="147">
        <f>(Financials!F13-Financials!E13)/Financials!E13</f>
        <v>0.13585938625558278</v>
      </c>
      <c r="G13" s="147">
        <f>(Financials!G13-Financials!F13)/Financials!F13</f>
        <v>8.9802130898021304E-2</v>
      </c>
      <c r="H13" s="156">
        <f>(Financials!H13-Financials!G13)/Financials!G13</f>
        <v>0</v>
      </c>
      <c r="I13" s="156">
        <f>(Financials!I13-Financials!H13)/Financials!H13</f>
        <v>0</v>
      </c>
      <c r="J13" s="156">
        <f>(Financials!J13-Financials!I13)/Financials!I13</f>
        <v>0</v>
      </c>
      <c r="K13" s="156">
        <f>(Financials!K13-Financials!J13)/Financials!J13</f>
        <v>0</v>
      </c>
      <c r="L13" s="156">
        <f>(Financials!L13-Financials!K13)/Financials!K13</f>
        <v>0</v>
      </c>
    </row>
    <row r="14" spans="1:14" x14ac:dyDescent="0.25">
      <c r="A14" t="s">
        <v>13</v>
      </c>
      <c r="B14" s="68"/>
      <c r="C14" s="147">
        <f>(Financials!C14-Financials!B14)/Financials!B14</f>
        <v>2.1614906832298137</v>
      </c>
      <c r="D14" s="147">
        <f>(Financials!D14-Financials!C14)/Financials!C14</f>
        <v>4.5326971653101317E-2</v>
      </c>
      <c r="E14" s="147">
        <f>(Financials!E14-Financials!D14)/Financials!D14</f>
        <v>-6.7123103772318427E-4</v>
      </c>
      <c r="F14" s="147">
        <f>(Financials!F14-Financials!E14)/Financials!E14</f>
        <v>0.13581407845244492</v>
      </c>
      <c r="G14" s="147">
        <f>(Financials!G14-Financials!F14)/Financials!F14</f>
        <v>1.303370786516854</v>
      </c>
      <c r="H14" s="156">
        <f>(Financials!H14-Financials!G14)/Financials!G14</f>
        <v>0</v>
      </c>
      <c r="I14" s="156">
        <f>(Financials!I14-Financials!H14)/Financials!H14</f>
        <v>0</v>
      </c>
      <c r="J14" s="156">
        <f>(Financials!J14-Financials!I14)/Financials!I14</f>
        <v>0</v>
      </c>
      <c r="K14" s="156">
        <f>(Financials!K14-Financials!J14)/Financials!J14</f>
        <v>0</v>
      </c>
      <c r="L14" s="156">
        <f>(Financials!L14-Financials!K14)/Financials!K14</f>
        <v>0</v>
      </c>
    </row>
    <row r="15" spans="1:14" x14ac:dyDescent="0.25">
      <c r="A15" t="s">
        <v>14</v>
      </c>
      <c r="B15" s="68"/>
      <c r="C15" s="147"/>
      <c r="D15" s="147"/>
      <c r="E15" s="147">
        <f>(Financials!E15-Financials!D15)/Financials!D15</f>
        <v>-5.138452754781616E-2</v>
      </c>
      <c r="F15" s="147">
        <f>(Financials!F15-Financials!E15)/Financials!E15</f>
        <v>8.5164008426120971E-2</v>
      </c>
      <c r="G15" s="147">
        <f>(Financials!G15-Financials!F15)/Financials!F15</f>
        <v>1.4911259012756517</v>
      </c>
      <c r="H15" s="156">
        <f>(Financials!H15-Financials!G15)/Financials!G15</f>
        <v>-6.1560725815429145E-2</v>
      </c>
      <c r="I15" s="156">
        <f>(Financials!I15-Financials!H15)/Financials!H15</f>
        <v>-6.5599051008303683E-2</v>
      </c>
      <c r="J15" s="156">
        <f>(Financials!J15-Financials!I15)/Financials!I15</f>
        <v>-6.9188777453345188E-2</v>
      </c>
      <c r="K15" s="156">
        <f>(Financials!K15-Financials!J15)/Financials!J15</f>
        <v>-7.2013093289689037E-2</v>
      </c>
      <c r="L15" s="156">
        <f>(Financials!L15-Financials!K15)/Financials!K15</f>
        <v>-7.1428571428571425E-2</v>
      </c>
    </row>
    <row r="16" spans="1:14" x14ac:dyDescent="0.25">
      <c r="A16" t="s">
        <v>15</v>
      </c>
      <c r="B16" s="68"/>
      <c r="C16" s="148">
        <f>(Financials!C16-Financials!B16)/Financials!B16</f>
        <v>-0.13382899628252787</v>
      </c>
      <c r="D16" s="148">
        <f>(Financials!D16-Financials!C16)/Financials!C16</f>
        <v>4.2918454935622317E-3</v>
      </c>
      <c r="E16" s="148">
        <f>(Financials!E16-Financials!D16)/Financials!D16</f>
        <v>-9.5441595441595445E-2</v>
      </c>
      <c r="F16" s="148">
        <f>(Financials!F16-Financials!E16)/Financials!E16</f>
        <v>3.3070866141732283E-2</v>
      </c>
      <c r="G16" s="148">
        <f>(Financials!G16-Financials!F16)/Financials!F16</f>
        <v>4.2682926829268296E-2</v>
      </c>
      <c r="H16" s="157">
        <f>(Financials!H16-Financials!G16)/Financials!G16</f>
        <v>0.12899034982302621</v>
      </c>
      <c r="I16" s="157">
        <f>(Financials!I16-Financials!H16)/Financials!H16</f>
        <v>7.5845539222484284E-2</v>
      </c>
      <c r="J16" s="157">
        <f>(Financials!J16-Financials!I16)/Financials!I16</f>
        <v>7.5882286050912753E-2</v>
      </c>
      <c r="K16" s="157">
        <f>(Financials!K16-Financials!J16)/Financials!J16</f>
        <v>7.5918840313772398E-2</v>
      </c>
      <c r="L16" s="157">
        <f>(Financials!L16-Financials!K16)/Financials!K16</f>
        <v>7.5955200923303268E-2</v>
      </c>
    </row>
    <row r="17" spans="1:14" ht="15.75" thickBot="1" x14ac:dyDescent="0.3">
      <c r="A17" s="8" t="s">
        <v>16</v>
      </c>
      <c r="B17" s="68"/>
      <c r="C17" s="165">
        <f>(Financials!C17-Financials!B17)/Financials!B17</f>
        <v>0.37756655476618001</v>
      </c>
      <c r="D17" s="165">
        <f>(Financials!D17-Financials!C17)/Financials!C17</f>
        <v>1.8347713974015668E-2</v>
      </c>
      <c r="E17" s="165">
        <f>(Financials!E17-Financials!D17)/Financials!D17</f>
        <v>6.3567811230452451E-2</v>
      </c>
      <c r="F17" s="165">
        <f>(Financials!F17-Financials!E17)/Financials!E17</f>
        <v>1.1119105239060763E-3</v>
      </c>
      <c r="G17" s="165">
        <f>(Financials!G17-Financials!F17)/Financials!F17</f>
        <v>0.25596498105318177</v>
      </c>
      <c r="H17" s="160">
        <f>(Financials!H17-Financials!G17)/Financials!G17</f>
        <v>5.6332269322731622E-3</v>
      </c>
      <c r="I17" s="160">
        <f>(Financials!I17-Financials!H17)/Financials!H17</f>
        <v>2.8043941956524175E-2</v>
      </c>
      <c r="J17" s="160">
        <f>(Financials!J17-Financials!I17)/Financials!I17</f>
        <v>5.8400652689090539E-2</v>
      </c>
      <c r="K17" s="160">
        <f>(Financials!K17-Financials!J17)/Financials!J17</f>
        <v>8.383790149263487E-2</v>
      </c>
      <c r="L17" s="160">
        <f>(Financials!L17-Financials!K17)/Financials!K17</f>
        <v>8.387411319412244E-2</v>
      </c>
    </row>
    <row r="18" spans="1:14" ht="15.75" thickTop="1" x14ac:dyDescent="0.25">
      <c r="A18" s="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</row>
    <row r="19" spans="1:14" x14ac:dyDescent="0.25">
      <c r="A19" s="6" t="s">
        <v>17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N19" s="8"/>
    </row>
    <row r="20" spans="1:14" x14ac:dyDescent="0.25">
      <c r="A20" s="6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N20" s="8"/>
    </row>
    <row r="21" spans="1:14" x14ac:dyDescent="0.25">
      <c r="A21" s="20" t="s">
        <v>18</v>
      </c>
      <c r="B21" s="68"/>
      <c r="C21" s="147"/>
      <c r="D21" s="147"/>
      <c r="E21" s="147"/>
      <c r="F21" s="147"/>
      <c r="G21" s="147"/>
      <c r="H21" s="156"/>
      <c r="I21" s="156"/>
      <c r="J21" s="156"/>
      <c r="K21" s="156"/>
      <c r="L21" s="156"/>
      <c r="N21" s="6"/>
    </row>
    <row r="22" spans="1:14" x14ac:dyDescent="0.25">
      <c r="A22" t="s">
        <v>19</v>
      </c>
      <c r="B22" s="68"/>
      <c r="C22" s="147">
        <f>(Financials!C22-Financials!B22)/Financials!B22</f>
        <v>0.49043277256966739</v>
      </c>
      <c r="D22" s="147">
        <f>(Financials!D22-Financials!C22)/Financials!C22</f>
        <v>0.15991728416336379</v>
      </c>
      <c r="E22" s="147">
        <f>(Financials!E22-Financials!D22)/Financials!D22</f>
        <v>-0.14997771504976973</v>
      </c>
      <c r="F22" s="147">
        <f>(Financials!F22-Financials!E22)/Financials!E22</f>
        <v>-0.12286987678056453</v>
      </c>
      <c r="G22" s="147">
        <f>(Financials!G22-Financials!F22)/Financials!F22</f>
        <v>0.18939922287536115</v>
      </c>
      <c r="H22" s="156">
        <f>(Financials!H22-Financials!G22)/Financials!G22</f>
        <v>7.7383628505123911E-2</v>
      </c>
      <c r="I22" s="156">
        <f>(Financials!I22-Financials!H22)/Financials!H22</f>
        <v>7.5845539222484257E-2</v>
      </c>
      <c r="J22" s="156">
        <f>(Financials!J22-Financials!I22)/Financials!I22</f>
        <v>7.5882286050912906E-2</v>
      </c>
      <c r="K22" s="156">
        <f>(Financials!K22-Financials!J22)/Financials!J22</f>
        <v>7.5918840313772329E-2</v>
      </c>
      <c r="L22" s="156">
        <f>(Financials!L22-Financials!K22)/Financials!K22</f>
        <v>7.5955200923303309E-2</v>
      </c>
    </row>
    <row r="23" spans="1:14" x14ac:dyDescent="0.25">
      <c r="A23" t="s">
        <v>20</v>
      </c>
      <c r="B23" s="68"/>
      <c r="C23" s="147">
        <f>(Financials!C23-Financials!B23)/Financials!B23</f>
        <v>0.64859437751004012</v>
      </c>
      <c r="D23" s="147">
        <f>(Financials!D23-Financials!C23)/Financials!C23</f>
        <v>-1.5022330491270807E-2</v>
      </c>
      <c r="E23" s="147">
        <f>(Financials!E23-Financials!D23)/Financials!D23</f>
        <v>-0.17930750206100576</v>
      </c>
      <c r="F23" s="147">
        <f>(Financials!F23-Financials!E23)/Financials!E23</f>
        <v>5.2737317930688095E-2</v>
      </c>
      <c r="G23" s="147">
        <f>(Financials!G23-Financials!F23)/Financials!F23</f>
        <v>0.10448473282442748</v>
      </c>
      <c r="H23" s="156">
        <f>(Financials!H23-Financials!G23)/Financials!G23</f>
        <v>0.11934901607794576</v>
      </c>
      <c r="I23" s="156">
        <f>(Financials!I23-Financials!H23)/Financials!H23</f>
        <v>7.5845539222484257E-2</v>
      </c>
      <c r="J23" s="156">
        <f>(Financials!J23-Financials!I23)/Financials!I23</f>
        <v>7.5882286050912753E-2</v>
      </c>
      <c r="K23" s="156">
        <f>(Financials!K23-Financials!J23)/Financials!J23</f>
        <v>7.5918840313772454E-2</v>
      </c>
      <c r="L23" s="156">
        <f>(Financials!L23-Financials!K23)/Financials!K23</f>
        <v>7.5955200923303295E-2</v>
      </c>
    </row>
    <row r="24" spans="1:14" x14ac:dyDescent="0.25">
      <c r="A24" t="s">
        <v>21</v>
      </c>
      <c r="B24" s="68"/>
      <c r="C24" s="147">
        <f>(Financials!C24-Financials!B24)/Financials!B24</f>
        <v>0.27933884297520661</v>
      </c>
      <c r="D24" s="147">
        <f>(Financials!D24-Financials!C24)/Financials!C24</f>
        <v>9.5607235142118857E-2</v>
      </c>
      <c r="E24" s="147">
        <f>(Financials!E24-Financials!D24)/Financials!D24</f>
        <v>-0.37735849056603776</v>
      </c>
      <c r="F24" s="147">
        <f>(Financials!F24-Financials!E24)/Financials!E24</f>
        <v>-0.14962121212121213</v>
      </c>
      <c r="G24" s="147">
        <f>(Financials!G24-Financials!F24)/Financials!F24</f>
        <v>0.39866369710467708</v>
      </c>
      <c r="H24" s="156">
        <f>(Financials!H24-Financials!G24)/Financials!G24</f>
        <v>0.17501288637632173</v>
      </c>
      <c r="I24" s="156">
        <f>(Financials!I24-Financials!H24)/Financials!H24</f>
        <v>7.5845539222484271E-2</v>
      </c>
      <c r="J24" s="156">
        <f>(Financials!J24-Financials!I24)/Financials!I24</f>
        <v>7.588228605091267E-2</v>
      </c>
      <c r="K24" s="156">
        <f>(Financials!K24-Financials!J24)/Financials!J24</f>
        <v>7.591884031377244E-2</v>
      </c>
      <c r="L24" s="156">
        <f>(Financials!L24-Financials!K24)/Financials!K24</f>
        <v>7.5955200923303254E-2</v>
      </c>
    </row>
    <row r="25" spans="1:14" x14ac:dyDescent="0.25">
      <c r="A25" t="s">
        <v>22</v>
      </c>
      <c r="B25" s="68"/>
      <c r="C25" s="147">
        <f>(Financials!C25-Financials!B25)/Financials!B25</f>
        <v>0.33412098298676751</v>
      </c>
      <c r="D25" s="147">
        <f>(Financials!D25-Financials!C25)/Financials!C25</f>
        <v>0.2738221749911442</v>
      </c>
      <c r="E25" s="147">
        <f>(Financials!E25-Financials!D25)/Financials!D25</f>
        <v>-0.14794215795328142</v>
      </c>
      <c r="F25" s="147">
        <f>(Financials!F25-Financials!E25)/Financials!E25</f>
        <v>-9.8563968668407317E-2</v>
      </c>
      <c r="G25" s="147">
        <f>(Financials!G25-Financials!F25)/Financials!F25</f>
        <v>-5.5032585083272988E-2</v>
      </c>
      <c r="H25" s="156">
        <f>(Financials!H25-Financials!G25)/Financials!G25</f>
        <v>0.30184266545110355</v>
      </c>
      <c r="I25" s="156">
        <f>(Financials!I25-Financials!H25)/Financials!H25</f>
        <v>7.5845539222484243E-2</v>
      </c>
      <c r="J25" s="156">
        <f>(Financials!J25-Financials!I25)/Financials!I25</f>
        <v>7.5882286050912739E-2</v>
      </c>
      <c r="K25" s="156">
        <f>(Financials!K25-Financials!J25)/Financials!J25</f>
        <v>7.5918840313772495E-2</v>
      </c>
      <c r="L25" s="156">
        <f>(Financials!L25-Financials!K25)/Financials!K25</f>
        <v>7.5955200923303171E-2</v>
      </c>
    </row>
    <row r="26" spans="1:14" x14ac:dyDescent="0.25">
      <c r="A26" t="s">
        <v>23</v>
      </c>
      <c r="B26" s="68"/>
      <c r="C26" s="147">
        <f>(Financials!C26-Financials!B26)/Financials!B26</f>
        <v>2.5090909090909093</v>
      </c>
      <c r="D26" s="147">
        <f>(Financials!D26-Financials!C26)/Financials!C26</f>
        <v>-0.18134715025906736</v>
      </c>
      <c r="E26" s="147">
        <f>(Financials!E26-Financials!D26)/Financials!D26</f>
        <v>-0.68354430379746833</v>
      </c>
      <c r="F26" s="147">
        <f>(Financials!F26-Financials!E26)/Financials!E26</f>
        <v>-0.44</v>
      </c>
      <c r="G26" s="147">
        <f>(Financials!G26-Financials!F26)/Financials!F26</f>
        <v>28.714285714285715</v>
      </c>
      <c r="H26" s="156">
        <f>(Financials!H26-Financials!G26)/Financials!G26</f>
        <v>-0.65168391132744952</v>
      </c>
      <c r="I26" s="156">
        <f>(Financials!I26-Financials!H26)/Financials!H26</f>
        <v>9.2165698270689614E-2</v>
      </c>
      <c r="J26" s="156">
        <f>(Financials!J26-Financials!I26)/Financials!I26</f>
        <v>9.2675047623127615E-2</v>
      </c>
      <c r="K26" s="156">
        <f>(Financials!K26-Financials!J26)/Financials!J26</f>
        <v>8.1938765269445157E-2</v>
      </c>
      <c r="L26" s="156">
        <f>(Financials!L26-Financials!K26)/Financials!K26</f>
        <v>7.436984226084016E-2</v>
      </c>
    </row>
    <row r="27" spans="1:14" x14ac:dyDescent="0.25">
      <c r="A27" t="s">
        <v>24</v>
      </c>
      <c r="B27" s="68"/>
      <c r="C27" s="147">
        <f>(Financials!C27-Financials!B27)/Financials!B27</f>
        <v>-0.23001631321370311</v>
      </c>
      <c r="D27" s="147">
        <f>(Financials!D27-Financials!C27)/Financials!C27</f>
        <v>0.72810734463276838</v>
      </c>
      <c r="E27" s="147">
        <f>(Financials!E27-Financials!D27)/Financials!D27</f>
        <v>-0.49693502247650184</v>
      </c>
      <c r="F27" s="147">
        <f>(Financials!F27-Financials!E27)/Financials!E27</f>
        <v>0.11129163281884646</v>
      </c>
      <c r="G27" s="147">
        <f>(Financials!G27-Financials!F27)/Financials!F27</f>
        <v>2.3494152046783627</v>
      </c>
      <c r="H27" s="156">
        <f>(Financials!H27-Financials!G27)/Financials!G27</f>
        <v>5.7398515931907465E-2</v>
      </c>
      <c r="I27" s="156">
        <f>(Financials!I27-Financials!H27)/Financials!H27</f>
        <v>-0.2220846233230134</v>
      </c>
      <c r="J27" s="156">
        <f>(Financials!J27-Financials!I27)/Financials!I27</f>
        <v>-0.27646590607588217</v>
      </c>
      <c r="K27" s="156">
        <f>(Financials!K27-Financials!J27)/Financials!J27</f>
        <v>0.44701136780344702</v>
      </c>
      <c r="L27" s="156">
        <f>(Financials!L27-Financials!K27)/Financials!K27</f>
        <v>0</v>
      </c>
    </row>
    <row r="28" spans="1:14" x14ac:dyDescent="0.25">
      <c r="A28" t="s">
        <v>25</v>
      </c>
      <c r="B28" s="68"/>
      <c r="C28" s="147"/>
      <c r="D28" s="147"/>
      <c r="E28" s="147">
        <f>(Financials!E28-Financials!D28)/Financials!D28</f>
        <v>0.13855421686746988</v>
      </c>
      <c r="F28" s="147">
        <f>(Financials!F28-Financials!E28)/Financials!E28</f>
        <v>0.1111111111111111</v>
      </c>
      <c r="G28" s="147">
        <f>(Financials!G28-Financials!F28)/Financials!F28</f>
        <v>0.21333333333333335</v>
      </c>
      <c r="H28" s="156">
        <f>(Financials!H28-Financials!G28)/Financials!G28</f>
        <v>0</v>
      </c>
      <c r="I28" s="156">
        <f>(Financials!I28-Financials!H28)/Financials!H28</f>
        <v>0</v>
      </c>
      <c r="J28" s="156">
        <f>(Financials!J28-Financials!I28)/Financials!I28</f>
        <v>0</v>
      </c>
      <c r="K28" s="156">
        <f>(Financials!K28-Financials!J28)/Financials!J28</f>
        <v>0</v>
      </c>
      <c r="L28" s="156">
        <f>(Financials!L28-Financials!K28)/Financials!K28</f>
        <v>0</v>
      </c>
    </row>
    <row r="29" spans="1:14" x14ac:dyDescent="0.25">
      <c r="A29" t="s">
        <v>26</v>
      </c>
      <c r="B29" s="68"/>
      <c r="C29" s="148">
        <f>(Financials!C29-Financials!B29)/Financials!B29</f>
        <v>0.14419125887187151</v>
      </c>
      <c r="D29" s="148">
        <f>(Financials!D29-Financials!C29)/Financials!C29</f>
        <v>0.2703232125367287</v>
      </c>
      <c r="E29" s="148">
        <f>(Financials!E29-Financials!D29)/Financials!D29</f>
        <v>-8.4811102544333078E-3</v>
      </c>
      <c r="F29" s="148">
        <f>(Financials!F29-Financials!E29)/Financials!E29</f>
        <v>9.5127008812856406E-2</v>
      </c>
      <c r="G29" s="148">
        <f>(Financials!G29-Financials!F29)/Financials!F29</f>
        <v>-1.3964497041420118E-2</v>
      </c>
      <c r="H29" s="157">
        <f>(Financials!H29-Financials!G29)/Financials!G29</f>
        <v>4.6280831156202677E-2</v>
      </c>
      <c r="I29" s="157">
        <f>(Financials!I29-Financials!H29)/Financials!H29</f>
        <v>7.584553922248416E-2</v>
      </c>
      <c r="J29" s="157">
        <f>(Financials!J29-Financials!I29)/Financials!I29</f>
        <v>7.5882286050912656E-2</v>
      </c>
      <c r="K29" s="157">
        <f>(Financials!K29-Financials!J29)/Financials!J29</f>
        <v>7.5918840313772454E-2</v>
      </c>
      <c r="L29" s="157">
        <f>(Financials!L29-Financials!K29)/Financials!K29</f>
        <v>7.5955200923303295E-2</v>
      </c>
      <c r="N29" s="8"/>
    </row>
    <row r="30" spans="1:14" x14ac:dyDescent="0.25">
      <c r="A30" s="8" t="s">
        <v>27</v>
      </c>
      <c r="B30" s="68"/>
      <c r="C30" s="147">
        <f>(Financials!C30-Financials!B30)/Financials!B30</f>
        <v>0.26073469387755099</v>
      </c>
      <c r="D30" s="147">
        <f>(Financials!D30-Financials!C30)/Financials!C30</f>
        <v>0.23858240524907193</v>
      </c>
      <c r="E30" s="147">
        <f>(Financials!E30-Financials!D30)/Financials!D30</f>
        <v>-0.19457707454779913</v>
      </c>
      <c r="F30" s="147">
        <f>(Financials!F30-Financials!E30)/Financials!E30</f>
        <v>-4.7382085677196019E-2</v>
      </c>
      <c r="G30" s="147">
        <f>(Financials!G30-Financials!F30)/Financials!F30</f>
        <v>0.30188507835566658</v>
      </c>
      <c r="H30" s="156">
        <f>(Financials!H30-Financials!G30)/Financials!G30</f>
        <v>7.0179725311699831E-2</v>
      </c>
      <c r="I30" s="156">
        <f>(Financials!I30-Financials!H30)/Financials!H30</f>
        <v>2.5007150107094568E-2</v>
      </c>
      <c r="J30" s="156">
        <f>(Financials!J30-Financials!I30)/Financials!I30</f>
        <v>2.9973783340190664E-2</v>
      </c>
      <c r="K30" s="156">
        <f>(Financials!K30-Financials!J30)/Financials!J30</f>
        <v>0.10350655997531316</v>
      </c>
      <c r="L30" s="156">
        <f>(Financials!L30-Financials!K30)/Financials!K30</f>
        <v>6.4171280282672771E-2</v>
      </c>
    </row>
    <row r="31" spans="1:14" x14ac:dyDescent="0.25"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</row>
    <row r="32" spans="1:14" x14ac:dyDescent="0.25">
      <c r="A32" t="s">
        <v>28</v>
      </c>
      <c r="B32" s="68"/>
      <c r="C32" s="147">
        <f>(Financials!C32-Financials!B32)/Financials!B32</f>
        <v>0.24945936519009418</v>
      </c>
      <c r="D32" s="147">
        <f>(Financials!D32-Financials!C32)/Financials!C32</f>
        <v>2.1830160236726036E-2</v>
      </c>
      <c r="E32" s="147">
        <f>(Financials!E32-Financials!D32)/Financials!D32</f>
        <v>0.14637744508796852</v>
      </c>
      <c r="F32" s="147">
        <f>(Financials!F32-Financials!E32)/Financials!E32</f>
        <v>1.8612077594013631E-2</v>
      </c>
      <c r="G32" s="147">
        <f>(Financials!G32-Financials!F32)/Financials!F32</f>
        <v>0.13433778630419016</v>
      </c>
      <c r="H32" s="156">
        <f>(Financials!H32-Financials!G32)/Financials!G32</f>
        <v>-9.9927812725585236E-2</v>
      </c>
      <c r="I32" s="156">
        <f>(Financials!I32-Financials!H32)/Financials!H32</f>
        <v>-8.6365719523373047E-2</v>
      </c>
      <c r="J32" s="156">
        <f>(Financials!J32-Financials!I32)/Financials!I32</f>
        <v>-6.839557573173484E-2</v>
      </c>
      <c r="K32" s="156">
        <f>(Financials!K32-Financials!J32)/Financials!J32</f>
        <v>-0.1062351927632996</v>
      </c>
      <c r="L32" s="156">
        <f>(Financials!L32-Financials!K32)/Financials!K32</f>
        <v>-0.11886258208325803</v>
      </c>
      <c r="N32" s="8"/>
    </row>
    <row r="33" spans="1:14" x14ac:dyDescent="0.25">
      <c r="A33" t="s">
        <v>29</v>
      </c>
      <c r="B33" s="68"/>
      <c r="C33" s="147"/>
      <c r="D33" s="147">
        <f>(Financials!D33-Financials!C33)/Financials!C33</f>
        <v>-5.6011949215832709E-4</v>
      </c>
      <c r="E33" s="147">
        <f>(Financials!E33-Financials!D33)/Financials!D33</f>
        <v>0.16308611993274799</v>
      </c>
      <c r="F33" s="147">
        <f>(Financials!F33-Financials!E33)/Financials!E33</f>
        <v>0.13748795374237072</v>
      </c>
      <c r="G33" s="147">
        <f>(Financials!G33-Financials!F33)/Financials!F33</f>
        <v>7.7802880542219718E-2</v>
      </c>
      <c r="H33" s="156">
        <f>(Financials!H33-Financials!G33)/Financials!G33</f>
        <v>0</v>
      </c>
      <c r="I33" s="156">
        <f>(Financials!I33-Financials!H33)/Financials!H33</f>
        <v>0</v>
      </c>
      <c r="J33" s="156">
        <f>(Financials!J33-Financials!I33)/Financials!I33</f>
        <v>0</v>
      </c>
      <c r="K33" s="156">
        <f>(Financials!K33-Financials!J33)/Financials!J33</f>
        <v>0</v>
      </c>
      <c r="L33" s="156">
        <f>(Financials!L33-Financials!K33)/Financials!K33</f>
        <v>0</v>
      </c>
    </row>
    <row r="34" spans="1:14" x14ac:dyDescent="0.25">
      <c r="A34" t="s">
        <v>30</v>
      </c>
      <c r="B34" s="68"/>
      <c r="C34" s="147">
        <f>(Financials!C34-Financials!B34)/Financials!B34</f>
        <v>0.60198300283286121</v>
      </c>
      <c r="D34" s="147">
        <f>(Financials!D34-Financials!C34)/Financials!C34</f>
        <v>-0.19628647214854111</v>
      </c>
      <c r="E34" s="147">
        <f>(Financials!E34-Financials!D34)/Financials!D34</f>
        <v>0.12101210121012101</v>
      </c>
      <c r="F34" s="147">
        <f>(Financials!F34-Financials!E34)/Financials!E34</f>
        <v>-0.15309126594700687</v>
      </c>
      <c r="G34" s="147">
        <f>(Financials!G34-Financials!F34)/Financials!F34</f>
        <v>1.2734646581691773</v>
      </c>
      <c r="H34" s="156">
        <f>(Financials!H34-Financials!G34)/Financials!G34</f>
        <v>-0.19679119263438877</v>
      </c>
      <c r="I34" s="156">
        <f>(Financials!I34-Financials!H34)/Financials!H34</f>
        <v>2.5925074031862518E-4</v>
      </c>
      <c r="J34" s="156">
        <f>(Financials!J34-Financials!I34)/Financials!I34</f>
        <v>1.8413322123435323E-3</v>
      </c>
      <c r="K34" s="156">
        <f>(Financials!K34-Financials!J34)/Financials!J34</f>
        <v>3.7015879937933294E-3</v>
      </c>
      <c r="L34" s="156">
        <f>(Financials!L34-Financials!K34)/Financials!K34</f>
        <v>6.1273639002416037E-3</v>
      </c>
      <c r="N34" s="6"/>
    </row>
    <row r="35" spans="1:14" x14ac:dyDescent="0.25">
      <c r="A35" t="s">
        <v>31</v>
      </c>
      <c r="B35" s="68"/>
      <c r="C35" s="148">
        <f>(Financials!C35-Financials!B35)/Financials!B35</f>
        <v>0.17719869706840391</v>
      </c>
      <c r="D35" s="148">
        <f>(Financials!D35-Financials!C35)/Financials!C35</f>
        <v>0.11400110680686221</v>
      </c>
      <c r="E35" s="148">
        <f>(Financials!E35-Financials!D35)/Financials!D35</f>
        <v>0.27471435668156979</v>
      </c>
      <c r="F35" s="148">
        <f>(Financials!F35-Financials!E35)/Financials!E35</f>
        <v>8.4567420109119246E-2</v>
      </c>
      <c r="G35" s="148">
        <f>(Financials!G35-Financials!F35)/Financials!F35</f>
        <v>-1.6169601149838304E-2</v>
      </c>
      <c r="H35" s="157">
        <f>(Financials!H35-Financials!G35)/Financials!G35</f>
        <v>-1.598883461735948E-2</v>
      </c>
      <c r="I35" s="157">
        <f>(Financials!I35-Financials!H35)/Financials!H35</f>
        <v>7.5845539222484243E-2</v>
      </c>
      <c r="J35" s="157">
        <f>(Financials!J35-Financials!I35)/Financials!I35</f>
        <v>7.5882286050912781E-2</v>
      </c>
      <c r="K35" s="157">
        <f>(Financials!K35-Financials!J35)/Financials!J35</f>
        <v>7.591884031377244E-2</v>
      </c>
      <c r="L35" s="157">
        <f>(Financials!L35-Financials!K35)/Financials!K35</f>
        <v>7.5955200923303129E-2</v>
      </c>
    </row>
    <row r="36" spans="1:14" x14ac:dyDescent="0.25">
      <c r="A36" s="8" t="s">
        <v>32</v>
      </c>
      <c r="B36" s="68"/>
      <c r="C36" s="149">
        <f>(Financials!C36-Financials!B36)/Financials!B36</f>
        <v>0.23789372976155432</v>
      </c>
      <c r="D36" s="149">
        <f>(Financials!D36-Financials!C36)/Financials!C36</f>
        <v>9.3487113938349034E-2</v>
      </c>
      <c r="E36" s="149">
        <f>(Financials!E36-Financials!D36)/Financials!D36</f>
        <v>1.7819279073560592E-2</v>
      </c>
      <c r="F36" s="149">
        <f>(Financials!F36-Financials!E36)/Financials!E36</f>
        <v>8.0525619967148753E-3</v>
      </c>
      <c r="G36" s="149">
        <f>(Financials!G36-Financials!F36)/Financials!F36</f>
        <v>0.18537212198288425</v>
      </c>
      <c r="H36" s="158">
        <f>(Financials!H36-Financials!G36)/Financials!G36</f>
        <v>-3.6471805026569042E-2</v>
      </c>
      <c r="I36" s="158">
        <f>(Financials!I36-Financials!H36)/Financials!H36</f>
        <v>-3.2444462637048289E-2</v>
      </c>
      <c r="J36" s="158">
        <f>(Financials!J36-Financials!I36)/Financials!I36</f>
        <v>-1.8722365142307601E-2</v>
      </c>
      <c r="K36" s="158">
        <f>(Financials!K36-Financials!J36)/Financials!J36</f>
        <v>-4.2961803129545192E-3</v>
      </c>
      <c r="L36" s="158">
        <f>(Financials!L36-Financials!K36)/Financials!K36</f>
        <v>-1.7034204008484748E-2</v>
      </c>
    </row>
    <row r="37" spans="1:14" x14ac:dyDescent="0.2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</row>
    <row r="38" spans="1:14" x14ac:dyDescent="0.25">
      <c r="A38" s="6" t="s">
        <v>33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</row>
    <row r="39" spans="1:14" x14ac:dyDescent="0.25">
      <c r="A39" t="s">
        <v>34</v>
      </c>
      <c r="B39" s="68"/>
      <c r="C39" s="147">
        <f>(Financials!C39-Financials!B39)/Financials!B39</f>
        <v>0</v>
      </c>
      <c r="D39" s="147">
        <f>(Financials!D39-Financials!C39)/Financials!C39</f>
        <v>1.1235955056179775E-2</v>
      </c>
      <c r="E39" s="147">
        <f>(Financials!E39-Financials!D39)/Financials!D39</f>
        <v>0</v>
      </c>
      <c r="F39" s="147">
        <f>(Financials!F39-Financials!E39)/Financials!E39</f>
        <v>0</v>
      </c>
      <c r="G39" s="147">
        <f>(Financials!G39-Financials!F39)/Financials!F39</f>
        <v>0</v>
      </c>
      <c r="H39" s="156">
        <f>(Financials!H39-Financials!G39)/Financials!G39</f>
        <v>0</v>
      </c>
      <c r="I39" s="156">
        <f>(Financials!I39-Financials!H39)/Financials!H39</f>
        <v>0</v>
      </c>
      <c r="J39" s="156">
        <f>(Financials!J39-Financials!I39)/Financials!I39</f>
        <v>0</v>
      </c>
      <c r="K39" s="156">
        <f>(Financials!K39-Financials!J39)/Financials!J39</f>
        <v>0</v>
      </c>
      <c r="L39" s="156">
        <f>(Financials!L39-Financials!K39)/Financials!K39</f>
        <v>0</v>
      </c>
    </row>
    <row r="40" spans="1:14" x14ac:dyDescent="0.25">
      <c r="A40" t="s">
        <v>35</v>
      </c>
      <c r="B40" s="68"/>
      <c r="C40" s="147">
        <f>(Financials!C40-Financials!B40)/Financials!B40</f>
        <v>4.8995545859467318E-2</v>
      </c>
      <c r="D40" s="147">
        <f>(Financials!D40-Financials!C40)/Financials!C40</f>
        <v>5.1299826689774695E-2</v>
      </c>
      <c r="E40" s="147">
        <f>(Financials!E40-Financials!D40)/Financials!D40</f>
        <v>3.7916254533465213E-2</v>
      </c>
      <c r="F40" s="147">
        <f>(Financials!F40-Financials!E40)/Financials!E40</f>
        <v>4.4075603557814487E-2</v>
      </c>
      <c r="G40" s="147">
        <f>(Financials!G40-Financials!F40)/Financials!F40</f>
        <v>7.3781090743135311E-2</v>
      </c>
      <c r="H40" s="156">
        <f>(Financials!H40-Financials!G40)/Financials!G40</f>
        <v>4.9173943747731534E-2</v>
      </c>
      <c r="I40" s="156">
        <f>(Financials!I40-Financials!H40)/Financials!H40</f>
        <v>5.0565521065345377E-2</v>
      </c>
      <c r="J40" s="156">
        <f>(Financials!J40-Financials!I40)/Financials!I40</f>
        <v>5.1933640582988473E-2</v>
      </c>
      <c r="K40" s="156">
        <f>(Financials!K40-Financials!J40)/Financials!J40</f>
        <v>5.3274785945136766E-2</v>
      </c>
      <c r="L40" s="156">
        <f>(Financials!L40-Financials!K40)/Financials!K40</f>
        <v>5.4610392224066939E-2</v>
      </c>
      <c r="N40" s="20"/>
    </row>
    <row r="41" spans="1:14" x14ac:dyDescent="0.25">
      <c r="A41" t="s">
        <v>36</v>
      </c>
      <c r="B41" s="68"/>
      <c r="C41" s="147">
        <f>(Financials!C41-Financials!B41)/Financials!B41</f>
        <v>0.12381836107405904</v>
      </c>
      <c r="D41" s="147">
        <f>(Financials!D41-Financials!C41)/Financials!C41</f>
        <v>0.16248666873086318</v>
      </c>
      <c r="E41" s="147">
        <f>(Financials!E41-Financials!D41)/Financials!D41</f>
        <v>0.13785143533589819</v>
      </c>
      <c r="F41" s="147">
        <f>(Financials!F41-Financials!E41)/Financials!E41</f>
        <v>8.7910944652517684E-2</v>
      </c>
      <c r="G41" s="147">
        <f>(Financials!G41-Financials!F41)/Financials!F41</f>
        <v>7.0251984316725635E-2</v>
      </c>
      <c r="H41" s="156">
        <f>(Financials!H41-Financials!G41)/Financials!G41</f>
        <v>0.10399218408395593</v>
      </c>
      <c r="I41" s="156">
        <f>(Financials!I41-Financials!H41)/Financials!H41</f>
        <v>0.11087219660648853</v>
      </c>
      <c r="J41" s="156">
        <f>(Financials!J41-Financials!I41)/Financials!I41</f>
        <v>0.1161813972272099</v>
      </c>
      <c r="K41" s="156">
        <f>(Financials!K41-Financials!J41)/Financials!J41</f>
        <v>0.11828732721715034</v>
      </c>
      <c r="L41" s="156">
        <f>(Financials!L41-Financials!K41)/Financials!K41</f>
        <v>0.11825633463642689</v>
      </c>
      <c r="N41" s="8"/>
    </row>
    <row r="42" spans="1:14" x14ac:dyDescent="0.25">
      <c r="A42" s="20" t="s">
        <v>37</v>
      </c>
      <c r="B42" s="68"/>
      <c r="C42" s="147">
        <f>(Financials!C42-Financials!B42)/Financials!B42</f>
        <v>-9.2016238159675232E-2</v>
      </c>
      <c r="D42" s="147">
        <f>(Financials!D42-Financials!C42)/Financials!C42</f>
        <v>4.9180327868852458E-2</v>
      </c>
      <c r="E42" s="147">
        <f>(Financials!E42-Financials!D42)/Financials!D42</f>
        <v>1.9886363636363636E-2</v>
      </c>
      <c r="F42" s="147">
        <f>(Financials!F42-Financials!E42)/Financials!E42</f>
        <v>-0.33565459610027853</v>
      </c>
      <c r="G42" s="147">
        <f>(Financials!G42-Financials!F42)/Financials!F42</f>
        <v>1.3668763102725368</v>
      </c>
      <c r="H42" s="156">
        <f>(Financials!H42-Financials!G42)/Financials!G42</f>
        <v>0</v>
      </c>
      <c r="I42" s="156">
        <f>(Financials!I42-Financials!H42)/Financials!H42</f>
        <v>0</v>
      </c>
      <c r="J42" s="156">
        <f>(Financials!J42-Financials!I42)/Financials!I42</f>
        <v>0</v>
      </c>
      <c r="K42" s="156">
        <f>(Financials!K42-Financials!J42)/Financials!J42</f>
        <v>0</v>
      </c>
      <c r="L42" s="156">
        <f>(Financials!L42-Financials!K42)/Financials!K42</f>
        <v>0</v>
      </c>
      <c r="N42" s="8"/>
    </row>
    <row r="43" spans="1:14" x14ac:dyDescent="0.25">
      <c r="A43" t="s">
        <v>38</v>
      </c>
      <c r="B43" s="68"/>
      <c r="C43" s="148">
        <f>(Financials!C43-Financials!B43)/Financials!B43</f>
        <v>9.1570034971470635E-3</v>
      </c>
      <c r="D43" s="148">
        <f>(Financials!D43-Financials!C43)/Financials!C43</f>
        <v>0.22800297904032343</v>
      </c>
      <c r="E43" s="148">
        <f>(Financials!E43-Financials!D43)/Financials!D43</f>
        <v>8.0501027304007725E-2</v>
      </c>
      <c r="F43" s="148">
        <f>(Financials!F43-Financials!E43)/Financials!E43</f>
        <v>9.2487800407798582E-2</v>
      </c>
      <c r="G43" s="148">
        <f>(Financials!G43-Financials!F43)/Financials!F43</f>
        <v>6.2806693788533324E-3</v>
      </c>
      <c r="H43" s="157">
        <f>(Financials!H43-Financials!G43)/Financials!G43</f>
        <v>6.4602848777234795E-2</v>
      </c>
      <c r="I43" s="157">
        <f>(Financials!I43-Financials!H43)/Financials!H43</f>
        <v>6.0682581162952304E-2</v>
      </c>
      <c r="J43" s="157">
        <f>(Financials!J43-Financials!I43)/Financials!I43</f>
        <v>5.7210877448763971E-2</v>
      </c>
      <c r="K43" s="157">
        <f>(Financials!K43-Financials!J43)/Financials!J43</f>
        <v>5.4114915641829082E-2</v>
      </c>
      <c r="L43" s="157">
        <f>(Financials!L43-Financials!K43)/Financials!K43</f>
        <v>5.1336827549660104E-2</v>
      </c>
      <c r="N43" s="8"/>
    </row>
    <row r="44" spans="1:14" x14ac:dyDescent="0.25">
      <c r="A44" s="8" t="s">
        <v>39</v>
      </c>
      <c r="B44" s="68"/>
      <c r="C44" s="149">
        <f>(Financials!C44-Financials!B44)/Financials!B44</f>
        <v>-2.0587291399229781</v>
      </c>
      <c r="D44" s="149">
        <f>(Financials!D44-Financials!C44)/Financials!C44</f>
        <v>-1.5140951803576841</v>
      </c>
      <c r="E44" s="149">
        <f>(Financials!E44-Financials!D44)/Financials!D44</f>
        <v>-1.9209905660377358</v>
      </c>
      <c r="F44" s="149">
        <f>(Financials!F44-Financials!E44)/Financials!E44</f>
        <v>-0.33162612035851474</v>
      </c>
      <c r="G44" s="149">
        <f>(Financials!G44-Financials!F44)/Financials!F44</f>
        <v>5.3601532567049812</v>
      </c>
      <c r="H44" s="158">
        <f>(Financials!H44-Financials!G44)/Financials!G44</f>
        <v>0.57303023817402865</v>
      </c>
      <c r="I44" s="158">
        <f>(Financials!I44-Financials!H44)/Financials!H44</f>
        <v>0.52733355228947287</v>
      </c>
      <c r="J44" s="158">
        <f>(Financials!J44-Financials!I44)/Financials!I44</f>
        <v>0.46168041139545946</v>
      </c>
      <c r="K44" s="158">
        <f>(Financials!K44-Financials!J44)/Financials!J44</f>
        <v>0.39322754170632618</v>
      </c>
      <c r="L44" s="158">
        <f>(Financials!L44-Financials!K44)/Financials!K44</f>
        <v>0.33703521017672339</v>
      </c>
      <c r="N44" s="8"/>
    </row>
    <row r="45" spans="1:14" x14ac:dyDescent="0.25">
      <c r="A45" s="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N45" s="8"/>
    </row>
    <row r="46" spans="1:14" ht="15.75" thickBot="1" x14ac:dyDescent="0.3">
      <c r="A46" s="8" t="s">
        <v>40</v>
      </c>
      <c r="B46" s="68"/>
      <c r="C46" s="150">
        <f>(Financials!C46-Financials!B46)/Financials!B46</f>
        <v>0.37756655476618001</v>
      </c>
      <c r="D46" s="150">
        <f>(Financials!D46-Financials!C46)/Financials!C46</f>
        <v>1.8347713974015668E-2</v>
      </c>
      <c r="E46" s="150">
        <f>(Financials!E46-Financials!D46)/Financials!D46</f>
        <v>6.3567811230452451E-2</v>
      </c>
      <c r="F46" s="150">
        <f>(Financials!F46-Financials!E46)/Financials!E46</f>
        <v>1.1119105239060763E-3</v>
      </c>
      <c r="G46" s="150">
        <f>(Financials!G46-Financials!F46)/Financials!F46</f>
        <v>0.25596498105318177</v>
      </c>
      <c r="H46" s="159">
        <f>(Financials!H46-Financials!G46)/Financials!G46</f>
        <v>5.633226932273314E-3</v>
      </c>
      <c r="I46" s="159">
        <f>(Financials!I46-Financials!H46)/Financials!H46</f>
        <v>2.8043941956524168E-2</v>
      </c>
      <c r="J46" s="159">
        <f>(Financials!J46-Financials!I46)/Financials!I46</f>
        <v>5.8400652689090532E-2</v>
      </c>
      <c r="K46" s="159">
        <f>(Financials!K46-Financials!J46)/Financials!J46</f>
        <v>8.3837901492634578E-2</v>
      </c>
      <c r="L46" s="159">
        <f>(Financials!L46-Financials!K46)/Financials!K46</f>
        <v>8.3874113194122704E-2</v>
      </c>
      <c r="N46" s="8"/>
    </row>
    <row r="47" spans="1:14" ht="15.75" thickTop="1" x14ac:dyDescent="0.25">
      <c r="A47" s="12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N47" s="8"/>
    </row>
    <row r="48" spans="1:14" x14ac:dyDescent="0.25">
      <c r="A48" s="12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</row>
    <row r="49" spans="1:14" x14ac:dyDescent="0.25">
      <c r="A49" s="12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</row>
    <row r="50" spans="1:14" x14ac:dyDescent="0.25">
      <c r="A50" s="12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</row>
    <row r="52" spans="1:14" x14ac:dyDescent="0.25">
      <c r="A52" s="11" t="s">
        <v>0</v>
      </c>
      <c r="B52" s="293" t="s">
        <v>1</v>
      </c>
      <c r="C52" s="293"/>
      <c r="D52" s="293"/>
      <c r="E52" s="293"/>
      <c r="F52" s="293"/>
      <c r="G52" s="293"/>
      <c r="H52" s="294" t="s">
        <v>2</v>
      </c>
      <c r="I52" s="294"/>
      <c r="J52" s="294"/>
      <c r="K52" s="294"/>
      <c r="L52" s="294"/>
    </row>
    <row r="53" spans="1:14" ht="15.75" thickBot="1" x14ac:dyDescent="0.3">
      <c r="A53" s="11" t="s">
        <v>381</v>
      </c>
      <c r="B53" s="136">
        <v>43499</v>
      </c>
      <c r="C53" s="136">
        <v>43863</v>
      </c>
      <c r="D53" s="136">
        <v>44227</v>
      </c>
      <c r="E53" s="136">
        <v>44591</v>
      </c>
      <c r="F53" s="136">
        <v>44955</v>
      </c>
      <c r="G53" s="136">
        <v>45319</v>
      </c>
      <c r="H53" s="171">
        <v>45688</v>
      </c>
      <c r="I53" s="137">
        <v>46053</v>
      </c>
      <c r="J53" s="137">
        <v>46418</v>
      </c>
      <c r="K53" s="137">
        <v>46783</v>
      </c>
      <c r="L53" s="137">
        <v>47149</v>
      </c>
    </row>
    <row r="54" spans="1:14" x14ac:dyDescent="0.25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</row>
    <row r="55" spans="1:14" x14ac:dyDescent="0.25">
      <c r="A55" t="s">
        <v>42</v>
      </c>
      <c r="B55" s="140"/>
      <c r="C55" s="166">
        <f>(Financials!C55-Financials!B55)/Financials!B55</f>
        <v>0.19854842367883874</v>
      </c>
      <c r="D55" s="166">
        <f>(Financials!D55-Financials!C55)/Financials!C55</f>
        <v>0.14417530845507531</v>
      </c>
      <c r="E55" s="166">
        <f>(Financials!E55-Financials!D55)/Financials!D55</f>
        <v>4.1321275230389594E-2</v>
      </c>
      <c r="F55" s="166">
        <f>(Financials!F55-Financials!E55)/Financials!E55</f>
        <v>-3.007566564804991E-2</v>
      </c>
      <c r="G55" s="166">
        <f>(Financials!G55-Financials!F55)/Financials!F55</f>
        <v>4.4835559281845037E-2</v>
      </c>
      <c r="H55" s="161">
        <f>(Financials!H55-Financials!G55)/Financials!G55</f>
        <v>7.5808600957282771E-2</v>
      </c>
      <c r="I55" s="161">
        <f>(Financials!I55-Financials!H55)/Financials!H55</f>
        <v>7.5845539222484257E-2</v>
      </c>
      <c r="J55" s="161">
        <f>(Financials!J55-Financials!I55)/Financials!I55</f>
        <v>7.5882286050912753E-2</v>
      </c>
      <c r="K55" s="161">
        <f>(Financials!K55-Financials!J55)/Financials!J55</f>
        <v>7.5918840313772398E-2</v>
      </c>
      <c r="L55" s="161">
        <f>(Financials!L55-Financials!K55)/Financials!K55</f>
        <v>7.5955200923303212E-2</v>
      </c>
      <c r="N55" s="7"/>
    </row>
    <row r="56" spans="1:14" x14ac:dyDescent="0.25"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N56" s="64"/>
    </row>
    <row r="57" spans="1:14" x14ac:dyDescent="0.25">
      <c r="A57" t="s">
        <v>43</v>
      </c>
      <c r="B57" s="140"/>
      <c r="C57" s="167">
        <f>(Financials!C57-Financials!B57)/Financials!B57</f>
        <v>0.20101028175023744</v>
      </c>
      <c r="D57" s="167">
        <f>(Financials!D57-Financials!C57)/Financials!C57</f>
        <v>0.14976448880892076</v>
      </c>
      <c r="E57" s="167">
        <f>(Financials!E57-Financials!D57)/Financials!D57</f>
        <v>4.2860702716172441E-2</v>
      </c>
      <c r="F57" s="167">
        <f>(Financials!F57-Financials!E57)/Financials!E57</f>
        <v>-2.7870967741935485E-2</v>
      </c>
      <c r="G57" s="167">
        <f>(Financials!G57-Financials!F57)/Financials!F57</f>
        <v>4.4214376308881219E-2</v>
      </c>
      <c r="H57" s="162">
        <f>(Financials!H57-Financials!G57)/Financials!G57</f>
        <v>7.1753134980295202E-2</v>
      </c>
      <c r="I57" s="162">
        <f>(Financials!I57-Financials!H57)/Financials!H57</f>
        <v>7.5845539222484243E-2</v>
      </c>
      <c r="J57" s="162">
        <f>(Financials!J57-Financials!I57)/Financials!I57</f>
        <v>7.5882286050912781E-2</v>
      </c>
      <c r="K57" s="162">
        <f>(Financials!K57-Financials!J57)/Financials!J57</f>
        <v>7.5918840313772329E-2</v>
      </c>
      <c r="L57" s="162">
        <f>(Financials!L57-Financials!K57)/Financials!K57</f>
        <v>7.5955200923303226E-2</v>
      </c>
      <c r="N57" s="64"/>
    </row>
    <row r="58" spans="1:14" x14ac:dyDescent="0.25"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N58" s="64"/>
    </row>
    <row r="59" spans="1:14" x14ac:dyDescent="0.25">
      <c r="A59" s="8" t="s">
        <v>44</v>
      </c>
      <c r="B59" s="140"/>
      <c r="C59" s="166">
        <f>(Financials!C59-Financials!B59)/Financials!B59</f>
        <v>0.19378792717981475</v>
      </c>
      <c r="D59" s="166">
        <f>(Financials!D59-Financials!C59)/Financials!C59</f>
        <v>0.13330212025951441</v>
      </c>
      <c r="E59" s="166">
        <f>(Financials!E59-Financials!D59)/Financials!D59</f>
        <v>3.8282971356625749E-2</v>
      </c>
      <c r="F59" s="166">
        <f>(Financials!F59-Financials!E59)/Financials!E59</f>
        <v>-3.4446170752965251E-2</v>
      </c>
      <c r="G59" s="166">
        <f>(Financials!G59-Financials!F59)/Financials!F59</f>
        <v>4.6075353218210359E-2</v>
      </c>
      <c r="H59" s="161">
        <f>(Financials!H59-Financials!G59)/Financials!G59</f>
        <v>8.3888341700734809E-2</v>
      </c>
      <c r="I59" s="161">
        <f>(Financials!I59-Financials!H59)/Financials!H59</f>
        <v>7.5845539222484271E-2</v>
      </c>
      <c r="J59" s="161">
        <f>(Financials!J59-Financials!I59)/Financials!I59</f>
        <v>7.5882286050912698E-2</v>
      </c>
      <c r="K59" s="161">
        <f>(Financials!K59-Financials!J59)/Financials!J59</f>
        <v>7.5918840313772537E-2</v>
      </c>
      <c r="L59" s="161">
        <f>(Financials!L59-Financials!K59)/Financials!K59</f>
        <v>7.5955200923303198E-2</v>
      </c>
      <c r="N59" s="8"/>
    </row>
    <row r="60" spans="1:14" x14ac:dyDescent="0.25"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</row>
    <row r="61" spans="1:14" x14ac:dyDescent="0.25">
      <c r="A61" t="s">
        <v>45</v>
      </c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</row>
    <row r="62" spans="1:14" x14ac:dyDescent="0.25">
      <c r="A62" t="s">
        <v>46</v>
      </c>
      <c r="B62" s="140"/>
      <c r="C62" s="166">
        <f>(Financials!C62-Financials!B62)/Financials!B62</f>
        <v>0.2384498480243161</v>
      </c>
      <c r="D62" s="166">
        <f>(Financials!D62-Financials!C62)/Financials!C62</f>
        <v>3.9227717102302939E-2</v>
      </c>
      <c r="E62" s="166">
        <f>(Financials!E62-Financials!D62)/Financials!D62</f>
        <v>3.4558765645910414E-2</v>
      </c>
      <c r="F62" s="166">
        <f>(Financials!F62-Financials!E62)/Financials!E62</f>
        <v>1.1946431288997108E-2</v>
      </c>
      <c r="G62" s="166">
        <f>(Financials!G62-Financials!F62)/Financials!F62</f>
        <v>8.0833145349274382E-2</v>
      </c>
      <c r="H62" s="161">
        <f>(Financials!H62-Financials!G62)/Financials!G62</f>
        <v>4.8215779365394576E-2</v>
      </c>
      <c r="I62" s="161">
        <f>(Financials!I62-Financials!H62)/Financials!H62</f>
        <v>7.584553922248416E-2</v>
      </c>
      <c r="J62" s="161">
        <f>(Financials!J62-Financials!I62)/Financials!I62</f>
        <v>7.5882286050912684E-2</v>
      </c>
      <c r="K62" s="161">
        <f>(Financials!K62-Financials!J62)/Financials!J62</f>
        <v>7.5918840313772509E-2</v>
      </c>
      <c r="L62" s="161">
        <f>(Financials!L62-Financials!K62)/Financials!K62</f>
        <v>7.5955200923303309E-2</v>
      </c>
    </row>
    <row r="63" spans="1:14" x14ac:dyDescent="0.25">
      <c r="A63" t="s">
        <v>47</v>
      </c>
      <c r="B63" s="140"/>
      <c r="C63" s="166">
        <f>(Financials!C63-Financials!B63)/Financials!B63</f>
        <v>6.9884364002011062E-2</v>
      </c>
      <c r="D63" s="166">
        <f>(Financials!D63-Financials!C63)/Financials!C63</f>
        <v>0.1212406015037594</v>
      </c>
      <c r="E63" s="166">
        <f>(Financials!E63-Financials!D63)/Financials!D63</f>
        <v>2.8918692372170998E-2</v>
      </c>
      <c r="F63" s="166">
        <f>(Financials!F63-Financials!E63)/Financials!E63</f>
        <v>8.8798370672097754E-2</v>
      </c>
      <c r="G63" s="166">
        <f>(Financials!G63-Financials!F63)/Financials!F63</f>
        <v>0.13505424616535727</v>
      </c>
      <c r="H63" s="161">
        <f>(Financials!H63-Financials!G63)/Financials!G63</f>
        <v>9.1351168241412165E-2</v>
      </c>
      <c r="I63" s="161">
        <f>(Financials!I63-Financials!H63)/Financials!H63</f>
        <v>5.3657602107487309E-2</v>
      </c>
      <c r="J63" s="161">
        <f>(Financials!J63-Financials!I63)/Financials!I63</f>
        <v>5.249632545420526E-2</v>
      </c>
      <c r="K63" s="161">
        <f>(Financials!K63-Financials!J63)/Financials!J63</f>
        <v>5.1385423742684427E-2</v>
      </c>
      <c r="L63" s="161">
        <f>(Financials!L63-Financials!K63)/Financials!K63</f>
        <v>4.6458500332163755E-2</v>
      </c>
      <c r="N63" s="8"/>
    </row>
    <row r="64" spans="1:14" x14ac:dyDescent="0.25">
      <c r="A64" t="s">
        <v>382</v>
      </c>
      <c r="B64" s="140"/>
      <c r="C64" s="167"/>
      <c r="D64" s="167"/>
      <c r="E64" s="167"/>
      <c r="F64" s="167"/>
      <c r="G64" s="167"/>
      <c r="H64" s="162"/>
      <c r="I64" s="162"/>
      <c r="J64" s="162"/>
      <c r="K64" s="162"/>
      <c r="L64" s="162"/>
    </row>
    <row r="65" spans="1:14" x14ac:dyDescent="0.25">
      <c r="A65" t="s">
        <v>48</v>
      </c>
      <c r="B65" s="140"/>
      <c r="C65" s="168">
        <f>(Financials!C65-Financials!B65)/Financials!B65</f>
        <v>0.22301992728611533</v>
      </c>
      <c r="D65" s="168">
        <f>(Financials!D65-Financials!C65)/Financials!C65</f>
        <v>4.5794920037629354E-2</v>
      </c>
      <c r="E65" s="168">
        <f>(Financials!E65-Financials!D65)/Financials!D65</f>
        <v>3.4074553828439838E-2</v>
      </c>
      <c r="F65" s="168">
        <f>(Financials!F65-Financials!E65)/Financials!E65</f>
        <v>1.8511430460350049E-2</v>
      </c>
      <c r="G65" s="168">
        <f>(Financials!G65-Financials!F65)/Financials!F65</f>
        <v>8.5784564927744181E-2</v>
      </c>
      <c r="H65" s="163">
        <f>(Financials!H65-Financials!G65)/Financials!G65</f>
        <v>5.2333606117953714E-2</v>
      </c>
      <c r="I65" s="163">
        <f>(Financials!I65-Financials!H65)/Financials!H65</f>
        <v>7.3648881672800343E-2</v>
      </c>
      <c r="J65" s="163">
        <f>(Financials!J65-Financials!I65)/Financials!I65</f>
        <v>7.3610131474101448E-2</v>
      </c>
      <c r="K65" s="163">
        <f>(Financials!K65-Financials!J65)/Financials!J65</f>
        <v>7.3582077245847172E-2</v>
      </c>
      <c r="L65" s="163">
        <f>(Financials!L65-Financials!K65)/Financials!K65</f>
        <v>7.320378158142736E-2</v>
      </c>
    </row>
    <row r="66" spans="1:14" x14ac:dyDescent="0.25"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</row>
    <row r="67" spans="1:14" x14ac:dyDescent="0.25">
      <c r="A67" s="8" t="s">
        <v>49</v>
      </c>
      <c r="B67" s="140"/>
      <c r="C67" s="166">
        <f>(Financials!C67-Financials!B67)/Financials!B67</f>
        <v>0.15369563845231332</v>
      </c>
      <c r="D67" s="166">
        <f>(Financials!D67-Financials!C67)/Financials!C67</f>
        <v>0.26053178684757633</v>
      </c>
      <c r="E67" s="166">
        <f>(Financials!E67-Financials!D67)/Financials!D67</f>
        <v>4.3359374999999999E-2</v>
      </c>
      <c r="F67" s="166">
        <f>(Financials!F67-Financials!E67)/Financials!E67</f>
        <v>-9.7757810225050965E-2</v>
      </c>
      <c r="G67" s="166">
        <f>(Financials!G67-Financials!F67)/Financials!F67</f>
        <v>-7.5153303517912304E-3</v>
      </c>
      <c r="H67" s="161">
        <f>(Financials!H67-Financials!G67)/Financials!G67</f>
        <v>0.13047723914066553</v>
      </c>
      <c r="I67" s="161">
        <f>(Financials!I67-Financials!H67)/Financials!H67</f>
        <v>7.8864600040030541E-2</v>
      </c>
      <c r="J67" s="161">
        <f>(Financials!J67-Financials!I67)/Financials!I67</f>
        <v>7.8990011976355481E-2</v>
      </c>
      <c r="K67" s="161">
        <f>(Financials!K67-Financials!J67)/Financials!J67</f>
        <v>7.9098998287905106E-2</v>
      </c>
      <c r="L67" s="161">
        <f>(Financials!L67-Financials!K67)/Financials!K67</f>
        <v>7.9680531038061331E-2</v>
      </c>
    </row>
    <row r="68" spans="1:14" x14ac:dyDescent="0.25"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</row>
    <row r="69" spans="1:14" x14ac:dyDescent="0.25">
      <c r="A69" t="s">
        <v>50</v>
      </c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</row>
    <row r="70" spans="1:14" x14ac:dyDescent="0.25">
      <c r="A70" t="s">
        <v>51</v>
      </c>
      <c r="B70" s="140"/>
      <c r="C70" s="166">
        <f>(Financials!C70-Financials!B70)/Financials!B70</f>
        <v>-0.35616438356164382</v>
      </c>
      <c r="D70" s="166">
        <f>(Financials!D70-Financials!C70)/Financials!C70</f>
        <v>-6.3829787234042548E-2</v>
      </c>
      <c r="E70" s="166">
        <f>(Financials!E70-Financials!D70)/Financials!D70</f>
        <v>0.25</v>
      </c>
      <c r="F70" s="166">
        <f>(Financials!F70-Financials!E70)/Financials!E70</f>
        <v>2.2363636363636363</v>
      </c>
      <c r="G70" s="166">
        <f>(Financials!G70-Financials!F70)/Financials!F70</f>
        <v>0.12921348314606743</v>
      </c>
      <c r="H70" s="161">
        <f>(Financials!H70-Financials!G70)/Financials!G70</f>
        <v>-1</v>
      </c>
      <c r="I70" s="161"/>
      <c r="J70" s="161">
        <f>(Financials!J70-Financials!I70)/Financials!I70</f>
        <v>0.48331244184555772</v>
      </c>
      <c r="K70" s="161">
        <f>(Financials!K70-Financials!J70)/Financials!J70</f>
        <v>2.3063260807844719</v>
      </c>
      <c r="L70" s="161">
        <f>(Financials!L70-Financials!K70)/Financials!K70</f>
        <v>1.2739176838217858</v>
      </c>
    </row>
    <row r="71" spans="1:14" x14ac:dyDescent="0.25">
      <c r="A71" t="s">
        <v>52</v>
      </c>
      <c r="B71" s="140"/>
      <c r="C71" s="166">
        <f>(Financials!C71-Financials!B71)/Financials!B71</f>
        <v>0.12156536219816819</v>
      </c>
      <c r="D71" s="166">
        <f>(Financials!D71-Financials!C71)/Financials!C71</f>
        <v>0</v>
      </c>
      <c r="E71" s="166">
        <f>(Financials!E71-Financials!D71)/Financials!D71</f>
        <v>0.20044543429844097</v>
      </c>
      <c r="F71" s="166">
        <f>(Financials!F71-Financials!E71)/Financials!E71</f>
        <v>0.20160791589363017</v>
      </c>
      <c r="G71" s="166">
        <f>(Financials!G71-Financials!F71)/Financials!F71</f>
        <v>0.19454451878538342</v>
      </c>
      <c r="H71" s="161">
        <f>(Financials!H71-Financials!G71)/Financials!G71</f>
        <v>-5.5722921154674657E-2</v>
      </c>
      <c r="I71" s="161">
        <f>(Financials!I71-Financials!H71)/Financials!H71</f>
        <v>-8.6343678745736493E-2</v>
      </c>
      <c r="J71" s="161">
        <f>(Financials!J71-Financials!I71)/Financials!I71</f>
        <v>-9.9927812725585249E-2</v>
      </c>
      <c r="K71" s="161">
        <f>(Financials!K71-Financials!J71)/Financials!J71</f>
        <v>-8.6365719523373005E-2</v>
      </c>
      <c r="L71" s="161">
        <f>(Financials!L71-Financials!K71)/Financials!K71</f>
        <v>-6.8395575731734826E-2</v>
      </c>
    </row>
    <row r="72" spans="1:14" x14ac:dyDescent="0.25">
      <c r="A72" t="s">
        <v>83</v>
      </c>
      <c r="B72" s="140"/>
      <c r="C72" s="167"/>
      <c r="D72" s="167"/>
      <c r="E72" s="167"/>
      <c r="F72" s="167"/>
      <c r="G72" s="167"/>
      <c r="H72" s="162"/>
      <c r="I72" s="162"/>
      <c r="J72" s="162"/>
      <c r="K72" s="162"/>
      <c r="L72" s="162"/>
    </row>
    <row r="73" spans="1:14" x14ac:dyDescent="0.25">
      <c r="A73" t="s">
        <v>53</v>
      </c>
      <c r="B73" s="140"/>
      <c r="C73" s="168">
        <f>(Financials!C73-Financials!B73)/Financials!B73</f>
        <v>0.1524822695035461</v>
      </c>
      <c r="D73" s="168">
        <f>(Financials!D73-Financials!C73)/Financials!C73</f>
        <v>2.3076923076923079E-3</v>
      </c>
      <c r="E73" s="168">
        <f>(Financials!E73-Financials!D73)/Financials!D73</f>
        <v>0.19877206446661549</v>
      </c>
      <c r="F73" s="168">
        <f>(Financials!F73-Financials!E73)/Financials!E73</f>
        <v>0.12996158770806659</v>
      </c>
      <c r="G73" s="168">
        <f>(Financials!G73-Financials!F73)/Financials!F73</f>
        <v>0.20113314447592068</v>
      </c>
      <c r="H73" s="163">
        <f>(Financials!H73-Financials!G73)/Financials!G73</f>
        <v>3.3805235849056661E-2</v>
      </c>
      <c r="I73" s="163">
        <f>(Financials!I73-Financials!H73)/Financials!H73</f>
        <v>-5.5519874334578445E-2</v>
      </c>
      <c r="J73" s="163">
        <f>(Financials!J73-Financials!I73)/Financials!I73</f>
        <v>-8.0893337522680311E-2</v>
      </c>
      <c r="K73" s="163">
        <f>(Financials!K73-Financials!J73)/Financials!J73</f>
        <v>3.9656435856153666E-2</v>
      </c>
      <c r="L73" s="163">
        <f>(Financials!L73-Financials!K73)/Financials!K73</f>
        <v>0.15644249943846866</v>
      </c>
    </row>
    <row r="74" spans="1:14" x14ac:dyDescent="0.25"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</row>
    <row r="75" spans="1:14" x14ac:dyDescent="0.25">
      <c r="A75" s="8" t="s">
        <v>54</v>
      </c>
      <c r="B75" s="140"/>
      <c r="C75" s="166">
        <f>(Financials!C75-Financials!B75)/Financials!B75</f>
        <v>0.15378865103635747</v>
      </c>
      <c r="D75" s="166">
        <f>(Financials!D75-Financials!C75)/Financials!C75</f>
        <v>0.28030392272352456</v>
      </c>
      <c r="E75" s="166">
        <f>(Financials!E75-Financials!D75)/Financials!D75</f>
        <v>3.4043336246952202E-2</v>
      </c>
      <c r="F75" s="166">
        <f>(Financials!F75-Financials!E75)/Financials!E75</f>
        <v>-0.11358277350180185</v>
      </c>
      <c r="G75" s="166">
        <f>(Financials!G75-Financials!F75)/Financials!F75</f>
        <v>-2.5998795422605903E-2</v>
      </c>
      <c r="H75" s="161">
        <f>(Financials!H75-Financials!G75)/Financials!G75</f>
        <v>0.14103812994650972</v>
      </c>
      <c r="I75" s="161">
        <f>(Financials!I75-Financials!H75)/Financials!H75</f>
        <v>9.2165698270689628E-2</v>
      </c>
      <c r="J75" s="161">
        <f>(Financials!J75-Financials!I75)/Financials!I75</f>
        <v>9.2675047623127574E-2</v>
      </c>
      <c r="K75" s="161">
        <f>(Financials!K75-Financials!J75)/Financials!J75</f>
        <v>8.193876526944506E-2</v>
      </c>
      <c r="L75" s="161">
        <f>(Financials!L75-Financials!K75)/Financials!K75</f>
        <v>7.4369842260840341E-2</v>
      </c>
    </row>
    <row r="76" spans="1:14" x14ac:dyDescent="0.25"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</row>
    <row r="77" spans="1:14" x14ac:dyDescent="0.25">
      <c r="A77" t="s">
        <v>55</v>
      </c>
      <c r="B77" s="140"/>
      <c r="C77" s="167">
        <f>(Financials!C77-Financials!B77)/Financials!B77</f>
        <v>0.18399078606392169</v>
      </c>
      <c r="D77" s="167">
        <f>(Financials!D77-Financials!C77)/Financials!C77</f>
        <v>0.2898832684824903</v>
      </c>
      <c r="E77" s="167">
        <f>(Financials!E77-Financials!D77)/Financials!D77</f>
        <v>1.282051282051282E-2</v>
      </c>
      <c r="F77" s="167">
        <f>(Financials!F77-Financials!E77)/Financials!E77</f>
        <v>-0.11001489203276248</v>
      </c>
      <c r="G77" s="167">
        <f>(Financials!G77-Financials!F77)/Financials!F77</f>
        <v>-3.7858188663459524E-2</v>
      </c>
      <c r="H77" s="162">
        <f>(Financials!H77-Financials!G77)/Financials!G77</f>
        <v>0.15384211568546718</v>
      </c>
      <c r="I77" s="162">
        <f>(Financials!I77-Financials!H77)/Financials!H77</f>
        <v>9.2165698270689697E-2</v>
      </c>
      <c r="J77" s="162">
        <f>(Financials!J77-Financials!I77)/Financials!I77</f>
        <v>9.267504762312756E-2</v>
      </c>
      <c r="K77" s="162">
        <f>(Financials!K77-Financials!J77)/Financials!J77</f>
        <v>8.1938765269445143E-2</v>
      </c>
      <c r="L77" s="162">
        <f>(Financials!L77-Financials!K77)/Financials!K77</f>
        <v>7.4369842260840244E-2</v>
      </c>
    </row>
    <row r="78" spans="1:14" x14ac:dyDescent="0.25"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N78" s="8"/>
    </row>
    <row r="79" spans="1:14" ht="15.75" thickBot="1" x14ac:dyDescent="0.3">
      <c r="A79" s="8" t="s">
        <v>56</v>
      </c>
      <c r="B79" s="140"/>
      <c r="C79" s="169">
        <f>(Financials!C79-Financials!B79)/Financials!B79</f>
        <v>0.14445828144458281</v>
      </c>
      <c r="D79" s="169">
        <f>(Financials!D79-Financials!C79)/Financials!C79</f>
        <v>0.27724234416290999</v>
      </c>
      <c r="E79" s="169">
        <f>(Financials!E79-Financials!D79)/Financials!D79</f>
        <v>4.0893324408203008E-2</v>
      </c>
      <c r="F79" s="169">
        <f>(Financials!F79-Financials!E79)/Financials!E79</f>
        <v>-0.11470330312774042</v>
      </c>
      <c r="G79" s="169">
        <f>(Financials!G79-Financials!F79)/Financials!F79</f>
        <v>-2.2254507032952519E-2</v>
      </c>
      <c r="H79" s="164">
        <f>(Financials!H79-Financials!G79)/Financials!G79</f>
        <v>0.13706012546189519</v>
      </c>
      <c r="I79" s="164">
        <f>(Financials!I79-Financials!H79)/Financials!H79</f>
        <v>9.2165698270689433E-2</v>
      </c>
      <c r="J79" s="164">
        <f>(Financials!J79-Financials!I79)/Financials!I79</f>
        <v>9.2675047623127532E-2</v>
      </c>
      <c r="K79" s="164">
        <f>(Financials!K79-Financials!J79)/Financials!J79</f>
        <v>8.1938765269445088E-2</v>
      </c>
      <c r="L79" s="164">
        <f>(Financials!L79-Financials!K79)/Financials!K79</f>
        <v>7.4369842260840383E-2</v>
      </c>
    </row>
    <row r="80" spans="1:14" ht="15.75" thickTop="1" x14ac:dyDescent="0.25">
      <c r="A80" s="12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</row>
    <row r="81" spans="1:14" x14ac:dyDescent="0.25">
      <c r="A81" s="12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</row>
    <row r="82" spans="1:14" x14ac:dyDescent="0.25">
      <c r="A82" s="12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N82" s="8"/>
    </row>
    <row r="83" spans="1:14" x14ac:dyDescent="0.25">
      <c r="A83" s="12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</row>
    <row r="84" spans="1:14" x14ac:dyDescent="0.25">
      <c r="A84" s="12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</row>
    <row r="85" spans="1:14" x14ac:dyDescent="0.25">
      <c r="A85" s="12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</row>
    <row r="86" spans="1:14" x14ac:dyDescent="0.25">
      <c r="A86" s="12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</row>
    <row r="87" spans="1:14" x14ac:dyDescent="0.25">
      <c r="A87" s="12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1:14" x14ac:dyDescent="0.25">
      <c r="A88" s="12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1:14" x14ac:dyDescent="0.25">
      <c r="A89" s="12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1:14" x14ac:dyDescent="0.25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1:14" x14ac:dyDescent="0.25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</sheetData>
  <mergeCells count="4">
    <mergeCell ref="H1:L1"/>
    <mergeCell ref="B1:G1"/>
    <mergeCell ref="B52:G52"/>
    <mergeCell ref="H52:L52"/>
  </mergeCells>
  <pageMargins left="0.42" right="0.41" top="0.39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1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37.85546875" customWidth="1"/>
    <col min="2" max="12" width="9.7109375" style="16" customWidth="1"/>
  </cols>
  <sheetData>
    <row r="1" spans="1:14" s="2" customFormat="1" x14ac:dyDescent="0.25">
      <c r="A1" s="11" t="s">
        <v>0</v>
      </c>
      <c r="B1" s="293" t="s">
        <v>1</v>
      </c>
      <c r="C1" s="293"/>
      <c r="D1" s="293"/>
      <c r="E1" s="293"/>
      <c r="F1" s="293"/>
      <c r="G1" s="293"/>
      <c r="H1" s="294" t="s">
        <v>2</v>
      </c>
      <c r="I1" s="294"/>
      <c r="J1" s="294"/>
      <c r="K1" s="294"/>
      <c r="L1" s="294"/>
    </row>
    <row r="2" spans="1:14" ht="15.75" thickBot="1" x14ac:dyDescent="0.3">
      <c r="A2" s="11" t="s">
        <v>383</v>
      </c>
      <c r="B2" s="136">
        <v>43863</v>
      </c>
      <c r="C2" s="136">
        <v>44227</v>
      </c>
      <c r="D2" s="136">
        <v>44591</v>
      </c>
      <c r="E2" s="136">
        <v>44955</v>
      </c>
      <c r="F2" s="136">
        <v>45319</v>
      </c>
      <c r="G2" s="136">
        <v>45690</v>
      </c>
      <c r="H2" s="171">
        <v>46053</v>
      </c>
      <c r="I2" s="137">
        <v>46418</v>
      </c>
      <c r="J2" s="137">
        <v>46783</v>
      </c>
      <c r="K2" s="137">
        <v>47149</v>
      </c>
      <c r="L2" s="137">
        <v>47514</v>
      </c>
    </row>
    <row r="3" spans="1:14" x14ac:dyDescent="0.25">
      <c r="A3" s="3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4" x14ac:dyDescent="0.25">
      <c r="A4" s="6" t="s">
        <v>4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N4" s="6"/>
    </row>
    <row r="5" spans="1:14" x14ac:dyDescent="0.25">
      <c r="A5" t="s">
        <v>5</v>
      </c>
      <c r="B5" s="102">
        <f>Financials!B5/Financials!B$17</f>
        <v>4.163088453431181E-2</v>
      </c>
      <c r="C5" s="102">
        <f>Financials!C5/Financials!C$17</f>
        <v>0.11185729870645074</v>
      </c>
      <c r="D5" s="102">
        <f>Financials!D5/Financials!D$17</f>
        <v>3.259780733485447E-2</v>
      </c>
      <c r="E5" s="102">
        <f>Financials!E5/Financials!E$17</f>
        <v>3.6065144875400613E-2</v>
      </c>
      <c r="F5" s="102">
        <f>Financials!F5/Financials!F$17</f>
        <v>4.9131059715144386E-2</v>
      </c>
      <c r="G5" s="102">
        <f>Financials!G5/Financials!G$17</f>
        <v>1.7259854971441651E-2</v>
      </c>
      <c r="H5" s="151">
        <f>Financials!H5/Financials!H$17</f>
        <v>2.6898278740320553E-2</v>
      </c>
      <c r="I5" s="151">
        <f>Financials!I5/Financials!I$17</f>
        <v>2.6164522393010779E-2</v>
      </c>
      <c r="J5" s="151">
        <f>Financials!J5/Financials!J$17</f>
        <v>2.4720810901367341E-2</v>
      </c>
      <c r="K5" s="151">
        <f>Financials!K5/Financials!K$17</f>
        <v>2.2808586844326489E-2</v>
      </c>
      <c r="L5" s="151">
        <f>Financials!L5/Financials!L$17</f>
        <v>2.1043575602253967E-2</v>
      </c>
    </row>
    <row r="6" spans="1:14" x14ac:dyDescent="0.25">
      <c r="A6" t="s">
        <v>6</v>
      </c>
      <c r="B6" s="102">
        <f>Financials!B6/Financials!B$17</f>
        <v>0</v>
      </c>
      <c r="C6" s="102">
        <f>Financials!C6/Financials!C$17</f>
        <v>0</v>
      </c>
      <c r="D6" s="102">
        <f>Financials!D6/Financials!D$17</f>
        <v>0</v>
      </c>
      <c r="E6" s="102">
        <f>Financials!E6/Financials!E$17</f>
        <v>0</v>
      </c>
      <c r="F6" s="102">
        <f>Financials!F6/Financials!F$17</f>
        <v>0</v>
      </c>
      <c r="G6" s="102">
        <f>Financials!G6/Financials!G$17</f>
        <v>0</v>
      </c>
      <c r="H6" s="151">
        <f>Financials!H6/Financials!H$17</f>
        <v>9.9842151333901907E-3</v>
      </c>
      <c r="I6" s="151">
        <f>Financials!I6/Financials!I$17</f>
        <v>1.4405717426081262E-2</v>
      </c>
      <c r="J6" s="151">
        <f>Financials!J6/Financials!J$17</f>
        <v>4.5001861173507171E-2</v>
      </c>
      <c r="K6" s="151">
        <f>Financials!K6/Financials!K$17</f>
        <v>9.4414974588362247E-2</v>
      </c>
      <c r="L6" s="151">
        <f>Financials!L6/Financials!L$17</f>
        <v>0.13923385553506276</v>
      </c>
    </row>
    <row r="7" spans="1:14" x14ac:dyDescent="0.25">
      <c r="A7" t="s">
        <v>7</v>
      </c>
      <c r="B7" s="102">
        <f>Financials!B7/Financials!B$17</f>
        <v>4.11039113123585E-2</v>
      </c>
      <c r="C7" s="102">
        <f>Financials!C7/Financials!C$17</f>
        <v>4.239101174537057E-2</v>
      </c>
      <c r="D7" s="102">
        <f>Financials!D7/Financials!D$17</f>
        <v>4.7665423785408202E-2</v>
      </c>
      <c r="E7" s="102">
        <f>Financials!E7/Financials!E$17</f>
        <v>4.3390673032899472E-2</v>
      </c>
      <c r="F7" s="102">
        <f>Financials!F7/Financials!F$17</f>
        <v>4.3486214556383115E-2</v>
      </c>
      <c r="G7" s="102">
        <f>Financials!G7/Financials!G$17</f>
        <v>5.1009685910173845E-2</v>
      </c>
      <c r="H7" s="151">
        <f>Financials!H7/Financials!H$17</f>
        <v>3.8863228345596808E-2</v>
      </c>
      <c r="I7" s="151">
        <f>Financials!I7/Financials!I$17</f>
        <v>4.0670275996007289E-2</v>
      </c>
      <c r="J7" s="151">
        <f>Financials!J7/Financials!J$17</f>
        <v>4.1342028089016603E-2</v>
      </c>
      <c r="K7" s="151">
        <f>Financials!K7/Financials!K$17</f>
        <v>4.1039962577887772E-2</v>
      </c>
      <c r="L7" s="151">
        <f>Financials!L7/Financials!L$17</f>
        <v>4.0740119764690337E-2</v>
      </c>
    </row>
    <row r="8" spans="1:14" x14ac:dyDescent="0.25">
      <c r="A8" t="s">
        <v>8</v>
      </c>
      <c r="B8" s="102">
        <f>Financials!B8/Financials!B$17</f>
        <v>0.28360918104457805</v>
      </c>
      <c r="C8" s="102">
        <f>Financials!C8/Financials!C$17</f>
        <v>0.23557331293124212</v>
      </c>
      <c r="D8" s="102">
        <f>Financials!D8/Financials!D$17</f>
        <v>0.3070287717736101</v>
      </c>
      <c r="E8" s="102">
        <f>Financials!E8/Financials!E$17</f>
        <v>0.32554123879913666</v>
      </c>
      <c r="F8" s="102">
        <f>Financials!F8/Financials!F$17</f>
        <v>0.2740885927087417</v>
      </c>
      <c r="G8" s="102">
        <f>Financials!G8/Financials!G$17</f>
        <v>0.24397881792361553</v>
      </c>
      <c r="H8" s="151">
        <f>Financials!H8/Financials!H$17</f>
        <v>0.24081642101186154</v>
      </c>
      <c r="I8" s="151">
        <f>Financials!I8/Financials!I$17</f>
        <v>0.25201381161204434</v>
      </c>
      <c r="J8" s="151">
        <f>Financials!J8/Financials!J$17</f>
        <v>0.25617633082962393</v>
      </c>
      <c r="K8" s="151">
        <f>Financials!K8/Financials!K$17</f>
        <v>0.2543045785743997</v>
      </c>
      <c r="L8" s="151">
        <f>Financials!L8/Financials!L$17</f>
        <v>0.25244659929130414</v>
      </c>
    </row>
    <row r="9" spans="1:14" x14ac:dyDescent="0.25">
      <c r="A9" t="s">
        <v>9</v>
      </c>
      <c r="B9" s="143">
        <f>Financials!B9/Financials!B$17</f>
        <v>2.0298227808572097E-2</v>
      </c>
      <c r="C9" s="143">
        <f>Financials!C9/Financials!C$17</f>
        <v>1.3643898499596208E-2</v>
      </c>
      <c r="D9" s="143">
        <f>Financials!D9/Financials!D$17</f>
        <v>1.6945851188157383E-2</v>
      </c>
      <c r="E9" s="143">
        <f>Financials!E9/Financials!E$17</f>
        <v>1.9765844724965662E-2</v>
      </c>
      <c r="F9" s="143">
        <f>Financials!F9/Financials!F$17</f>
        <v>2.2357245524630864E-2</v>
      </c>
      <c r="G9" s="143">
        <f>Financials!G9/Financials!G$17</f>
        <v>1.7374296445031679E-2</v>
      </c>
      <c r="H9" s="152">
        <f>Financials!H9/Financials!H$17</f>
        <v>1.651079206747539E-2</v>
      </c>
      <c r="I9" s="152">
        <f>Financials!I9/Financials!I$17</f>
        <v>1.7278504614323745E-2</v>
      </c>
      <c r="J9" s="152">
        <f>Financials!J9/Financials!J$17</f>
        <v>1.7563894161222383E-2</v>
      </c>
      <c r="K9" s="152">
        <f>Financials!K9/Financials!K$17</f>
        <v>1.7435563575799753E-2</v>
      </c>
      <c r="L9" s="152">
        <f>Financials!L9/Financials!L$17</f>
        <v>1.730817728926675E-2</v>
      </c>
    </row>
    <row r="10" spans="1:14" x14ac:dyDescent="0.25">
      <c r="A10" s="8" t="s">
        <v>10</v>
      </c>
      <c r="B10" s="102">
        <f>Financials!B10/Financials!B$17</f>
        <v>0.38664220469982041</v>
      </c>
      <c r="C10" s="102">
        <f>Financials!C10/Financials!C$17</f>
        <v>0.40346552188265966</v>
      </c>
      <c r="D10" s="102">
        <f>Financials!D10/Financials!D$17</f>
        <v>0.40423785408203017</v>
      </c>
      <c r="E10" s="102">
        <f>Financials!E10/Financials!E$17</f>
        <v>0.42476290143240236</v>
      </c>
      <c r="F10" s="102">
        <f>Financials!F10/Financials!F$17</f>
        <v>0.38906311250490005</v>
      </c>
      <c r="G10" s="102">
        <f>Financials!G10/Financials!G$17</f>
        <v>0.32962265525026269</v>
      </c>
      <c r="H10" s="151">
        <f>Financials!H10/Financials!H$17</f>
        <v>0.33307293529864446</v>
      </c>
      <c r="I10" s="151">
        <f>Financials!I10/Financials!I$17</f>
        <v>0.3505328320414674</v>
      </c>
      <c r="J10" s="151">
        <f>Financials!J10/Financials!J$17</f>
        <v>0.38480492515473746</v>
      </c>
      <c r="K10" s="151">
        <f>Financials!K10/Financials!K$17</f>
        <v>0.43000366616077601</v>
      </c>
      <c r="L10" s="151">
        <f>Financials!L10/Financials!L$17</f>
        <v>0.47077232748257797</v>
      </c>
    </row>
    <row r="11" spans="1:14" x14ac:dyDescent="0.25"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</row>
    <row r="12" spans="1:14" x14ac:dyDescent="0.25">
      <c r="A12" t="s">
        <v>11</v>
      </c>
      <c r="B12" s="102">
        <f>Financials!B12/Financials!B$17</f>
        <v>0.44441408384729486</v>
      </c>
      <c r="C12" s="102">
        <f>Financials!C12/Financials!C$17</f>
        <v>0.35002337739618311</v>
      </c>
      <c r="D12" s="102">
        <f>Financials!D12/Financials!D$17</f>
        <v>0.35058990483610664</v>
      </c>
      <c r="E12" s="102">
        <f>Financials!E12/Financials!E$17</f>
        <v>0.33528680750866635</v>
      </c>
      <c r="F12" s="102">
        <f>Financials!F12/Financials!F$17</f>
        <v>0.34174833398667187</v>
      </c>
      <c r="G12" s="102">
        <f>Financials!G12/Financials!G$17</f>
        <v>0.27780147525463228</v>
      </c>
      <c r="H12" s="151">
        <f>Financials!H12/Financials!H$17</f>
        <v>0.28135855669414228</v>
      </c>
      <c r="I12" s="151">
        <f>Financials!I12/Financials!I$17</f>
        <v>0.27939214240413557</v>
      </c>
      <c r="J12" s="151">
        <f>Financials!J12/Financials!J$17</f>
        <v>0.27012257595803868</v>
      </c>
      <c r="K12" s="151">
        <f>Financials!K12/Financials!K$17</f>
        <v>0.25565275856924913</v>
      </c>
      <c r="L12" s="151">
        <f>Financials!L12/Financials!L$17</f>
        <v>0.24255146068280695</v>
      </c>
      <c r="N12" s="8"/>
    </row>
    <row r="13" spans="1:14" x14ac:dyDescent="0.25">
      <c r="A13" t="s">
        <v>12</v>
      </c>
      <c r="B13" s="102">
        <f>Financials!B13/Financials!B$17</f>
        <v>0.10920056210477008</v>
      </c>
      <c r="C13" s="102">
        <f>Financials!C13/Financials!C$17</f>
        <v>8.4470324874966349E-2</v>
      </c>
      <c r="D13" s="102">
        <f>Financials!D13/Financials!D$17</f>
        <v>8.3031888251989538E-2</v>
      </c>
      <c r="E13" s="102">
        <f>Financials!E13/Financials!E$17</f>
        <v>9.0797305252142066E-2</v>
      </c>
      <c r="F13" s="102">
        <f>Financials!F13/Financials!F$17</f>
        <v>0.10301842414739318</v>
      </c>
      <c r="G13" s="102">
        <f>Financials!G13/Financials!G$17</f>
        <v>8.9389194644139039E-2</v>
      </c>
      <c r="H13" s="151">
        <f>Financials!H13/Financials!H$17</f>
        <v>8.8888465744936224E-2</v>
      </c>
      <c r="I13" s="151">
        <f>Financials!I13/Financials!I$17</f>
        <v>8.6463683231057159E-2</v>
      </c>
      <c r="J13" s="151">
        <f>Financials!J13/Financials!J$17</f>
        <v>8.1692772024826235E-2</v>
      </c>
      <c r="K13" s="151">
        <f>Financials!K13/Financials!K$17</f>
        <v>7.5373606987097386E-2</v>
      </c>
      <c r="L13" s="151">
        <f>Financials!L13/Financials!L$17</f>
        <v>6.9540923682525416E-2</v>
      </c>
    </row>
    <row r="14" spans="1:14" x14ac:dyDescent="0.25">
      <c r="A14" t="s">
        <v>13</v>
      </c>
      <c r="B14" s="102">
        <f>Financials!B14/Financials!B$17</f>
        <v>4.3992505269732217E-2</v>
      </c>
      <c r="C14" s="102">
        <f>Financials!C14/Financials!C$17</f>
        <v>0.10096201527323218</v>
      </c>
      <c r="D14" s="102">
        <f>Financials!D14/Financials!D$17</f>
        <v>0.103636818965997</v>
      </c>
      <c r="E14" s="102">
        <f>Financials!E14/Financials!E$17</f>
        <v>9.7377199293609787E-2</v>
      </c>
      <c r="F14" s="102">
        <f>Financials!F14/Financials!F$17</f>
        <v>0.11047955050307069</v>
      </c>
      <c r="G14" s="102">
        <f>Financials!G14/Financials!G$17</f>
        <v>0.20261342710598321</v>
      </c>
      <c r="H14" s="151">
        <f>Financials!H14/Financials!H$17</f>
        <v>0.20147845325682412</v>
      </c>
      <c r="I14" s="151">
        <f>Financials!I14/Financials!I$17</f>
        <v>0.1959823360014942</v>
      </c>
      <c r="J14" s="151">
        <f>Financials!J14/Financials!J$17</f>
        <v>0.18516838165543423</v>
      </c>
      <c r="K14" s="151">
        <f>Financials!K14/Financials!K$17</f>
        <v>0.17084508799740708</v>
      </c>
      <c r="L14" s="151">
        <f>Financials!L14/Financials!L$17</f>
        <v>0.15762447494380616</v>
      </c>
    </row>
    <row r="15" spans="1:14" x14ac:dyDescent="0.25">
      <c r="A15" t="s">
        <v>14</v>
      </c>
      <c r="B15" s="102">
        <f>Financials!B15/Financials!B$17</f>
        <v>0</v>
      </c>
      <c r="C15" s="102">
        <f>Financials!C15/Financials!C$17</f>
        <v>5.1175245462659925E-2</v>
      </c>
      <c r="D15" s="102">
        <f>Financials!D15/Financials!D$17</f>
        <v>4.873671322833769E-2</v>
      </c>
      <c r="E15" s="102">
        <f>Financials!E15/Financials!E$17</f>
        <v>4.3469160834586955E-2</v>
      </c>
      <c r="F15" s="102">
        <f>Financials!F15/Financials!F$17</f>
        <v>4.7118776950215602E-2</v>
      </c>
      <c r="G15" s="102">
        <f>Financials!G15/Financials!G$17</f>
        <v>9.3457068841748245E-2</v>
      </c>
      <c r="H15" s="151">
        <f>Financials!H15/Financials!H$17</f>
        <v>8.7212496069577788E-2</v>
      </c>
      <c r="I15" s="151">
        <f>Financials!I15/Financials!I$17</f>
        <v>7.9268439572979202E-2</v>
      </c>
      <c r="J15" s="151">
        <f>Financials!J15/Financials!J$17</f>
        <v>6.9712686741855906E-2</v>
      </c>
      <c r="K15" s="151">
        <f>Financials!K15/Financials!K$17</f>
        <v>5.9688317264922096E-2</v>
      </c>
      <c r="L15" s="151">
        <f>Financials!L15/Financials!L$17</f>
        <v>5.1135888713477143E-2</v>
      </c>
    </row>
    <row r="16" spans="1:14" x14ac:dyDescent="0.25">
      <c r="A16" t="s">
        <v>15</v>
      </c>
      <c r="B16" s="143">
        <f>Financials!B16/Financials!B$17</f>
        <v>1.5750644078382389E-2</v>
      </c>
      <c r="C16" s="143">
        <f>Financials!C16/Financials!C$17</f>
        <v>9.9035151102988064E-3</v>
      </c>
      <c r="D16" s="143">
        <f>Financials!D16/Financials!D$17</f>
        <v>9.7668206355389833E-3</v>
      </c>
      <c r="E16" s="143">
        <f>Financials!E16/Financials!E$17</f>
        <v>8.3066256785924528E-3</v>
      </c>
      <c r="F16" s="143">
        <f>Financials!F16/Financials!F$17</f>
        <v>8.5718019077485955E-3</v>
      </c>
      <c r="G16" s="143">
        <f>Financials!G16/Financials!G$17</f>
        <v>7.1161789032345322E-3</v>
      </c>
      <c r="H16" s="152">
        <f>Financials!H16/Financials!H$17</f>
        <v>7.9890929358751878E-3</v>
      </c>
      <c r="I16" s="152">
        <f>Financials!I16/Financials!I$17</f>
        <v>8.3605667488663282E-3</v>
      </c>
      <c r="J16" s="152">
        <f>Financials!J16/Financials!J$17</f>
        <v>8.4986584651076044E-3</v>
      </c>
      <c r="K16" s="152">
        <f>Financials!K16/Financials!K$17</f>
        <v>8.4365630205482673E-3</v>
      </c>
      <c r="L16" s="152">
        <f>Financials!L16/Financials!L$17</f>
        <v>8.3749244948064915E-3</v>
      </c>
    </row>
    <row r="17" spans="1:14" ht="15.75" thickBot="1" x14ac:dyDescent="0.3">
      <c r="A17" s="8" t="s">
        <v>16</v>
      </c>
      <c r="B17" s="144">
        <f>Financials!B17/Financials!B$17</f>
        <v>1</v>
      </c>
      <c r="C17" s="144">
        <f>Financials!C17/Financials!C$17</f>
        <v>1</v>
      </c>
      <c r="D17" s="144">
        <f>Financials!D17/Financials!D$17</f>
        <v>1</v>
      </c>
      <c r="E17" s="144">
        <f>Financials!E17/Financials!E$17</f>
        <v>1</v>
      </c>
      <c r="F17" s="144">
        <f>Financials!F17/Financials!F$17</f>
        <v>1</v>
      </c>
      <c r="G17" s="144">
        <f>Financials!G17/Financials!G$17</f>
        <v>1</v>
      </c>
      <c r="H17" s="153">
        <f>Financials!H17/Financials!H$17</f>
        <v>1</v>
      </c>
      <c r="I17" s="153">
        <f>Financials!I17/Financials!I$17</f>
        <v>1</v>
      </c>
      <c r="J17" s="153">
        <f>Financials!J17/Financials!J$17</f>
        <v>1</v>
      </c>
      <c r="K17" s="153">
        <f>Financials!K17/Financials!K$17</f>
        <v>1</v>
      </c>
      <c r="L17" s="153">
        <f>Financials!L17/Financials!L$17</f>
        <v>1</v>
      </c>
    </row>
    <row r="18" spans="1:14" ht="15.75" thickTop="1" x14ac:dyDescent="0.25">
      <c r="A18" s="8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 spans="1:14" x14ac:dyDescent="0.25">
      <c r="A19" s="6" t="s">
        <v>17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N19" s="8"/>
    </row>
    <row r="20" spans="1:14" x14ac:dyDescent="0.25">
      <c r="A20" s="6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N20" s="8"/>
    </row>
    <row r="21" spans="1:14" x14ac:dyDescent="0.25">
      <c r="A21" s="20" t="s">
        <v>18</v>
      </c>
      <c r="B21" s="102">
        <f>Financials!B21/Financials!B$17</f>
        <v>1.901007104379733E-2</v>
      </c>
      <c r="C21" s="102">
        <f>Financials!C21/Financials!C$17</f>
        <v>0</v>
      </c>
      <c r="D21" s="102">
        <f>Financials!D21/Financials!D$17</f>
        <v>1.4399799654961323E-2</v>
      </c>
      <c r="E21" s="102">
        <f>Financials!E21/Financials!E$17</f>
        <v>0</v>
      </c>
      <c r="F21" s="102">
        <f>Financials!F21/Financials!F$17</f>
        <v>0</v>
      </c>
      <c r="G21" s="102">
        <f>Financials!G21/Financials!G$17</f>
        <v>3.287591423131743E-3</v>
      </c>
      <c r="H21" s="151">
        <f>Financials!H21/Financials!H$17</f>
        <v>3.2691754161312671E-3</v>
      </c>
      <c r="I21" s="151">
        <f>Financials!I21/Financials!I$17</f>
        <v>3.1799957985351561E-3</v>
      </c>
      <c r="J21" s="151">
        <f>Financials!J21/Financials!J$17</f>
        <v>3.0045293249354155E-3</v>
      </c>
      <c r="K21" s="151">
        <f>Financials!K21/Financials!K$17</f>
        <v>2.7721205549258352E-3</v>
      </c>
      <c r="L21" s="151">
        <f>Financials!L21/Financials!L$17</f>
        <v>2.5576038039662515E-3</v>
      </c>
      <c r="N21" s="6"/>
    </row>
    <row r="22" spans="1:14" x14ac:dyDescent="0.25">
      <c r="A22" t="s">
        <v>19</v>
      </c>
      <c r="B22" s="102">
        <f>Financials!B22/Financials!B$17</f>
        <v>0.15198298071668359</v>
      </c>
      <c r="C22" s="102">
        <f>Financials!C22/Financials!C$17</f>
        <v>0.1644351879400972</v>
      </c>
      <c r="D22" s="102">
        <f>Financials!D22/Financials!D$17</f>
        <v>0.18729478546385442</v>
      </c>
      <c r="E22" s="102">
        <f>Financials!E22/Financials!E$17</f>
        <v>0.14968931911832037</v>
      </c>
      <c r="F22" s="102">
        <f>Financials!F22/Financials!F$17</f>
        <v>0.13115118254279368</v>
      </c>
      <c r="G22" s="102">
        <f>Financials!G22/Financials!G$17</f>
        <v>0.12420021015616059</v>
      </c>
      <c r="H22" s="151">
        <f>Financials!H22/Financials!H$17</f>
        <v>0.13306170629160713</v>
      </c>
      <c r="I22" s="151">
        <f>Financials!I22/Financials!I$17</f>
        <v>0.13924875903914608</v>
      </c>
      <c r="J22" s="151">
        <f>Financials!J22/Financials!J$17</f>
        <v>0.14154873471038765</v>
      </c>
      <c r="K22" s="151">
        <f>Financials!K22/Financials!K$17</f>
        <v>0.14051450893878617</v>
      </c>
      <c r="L22" s="151">
        <f>Financials!L22/Financials!L$17</f>
        <v>0.13948789334245612</v>
      </c>
    </row>
    <row r="23" spans="1:14" x14ac:dyDescent="0.25">
      <c r="A23" t="s">
        <v>20</v>
      </c>
      <c r="B23" s="102">
        <f>Financials!B23/Financials!B$17</f>
        <v>2.915918494808338E-2</v>
      </c>
      <c r="C23" s="102">
        <f>Financials!C23/Financials!C$17</f>
        <v>3.4896076847876906E-2</v>
      </c>
      <c r="D23" s="102">
        <f>Financials!D23/Financials!D$17</f>
        <v>3.3752573877233009E-2</v>
      </c>
      <c r="E23" s="102">
        <f>Financials!E23/Financials!E$17</f>
        <v>2.6044868859964682E-2</v>
      </c>
      <c r="F23" s="102">
        <f>Financials!F23/Financials!F$17</f>
        <v>2.7387952436952828E-2</v>
      </c>
      <c r="G23" s="102">
        <f>Financials!G23/Financials!G$17</f>
        <v>2.4084728305537928E-2</v>
      </c>
      <c r="H23" s="151">
        <f>Financials!H23/Financials!H$17</f>
        <v>2.6808200255622781E-2</v>
      </c>
      <c r="I23" s="151">
        <f>Financials!I23/Financials!I$17</f>
        <v>2.8054717782495853E-2</v>
      </c>
      <c r="J23" s="151">
        <f>Financials!J23/Financials!J$17</f>
        <v>2.8518098345515077E-2</v>
      </c>
      <c r="K23" s="151">
        <f>Financials!K23/Financials!K$17</f>
        <v>2.8309730871751766E-2</v>
      </c>
      <c r="L23" s="151">
        <f>Financials!L23/Financials!L$17</f>
        <v>2.8102896634772667E-2</v>
      </c>
    </row>
    <row r="24" spans="1:14" x14ac:dyDescent="0.25">
      <c r="A24" t="s">
        <v>21</v>
      </c>
      <c r="B24" s="102">
        <f>Financials!B24/Financials!B$17</f>
        <v>1.1808103677102038E-2</v>
      </c>
      <c r="C24" s="102">
        <f>Financials!C24/Financials!C$17</f>
        <v>1.0966124027712841E-2</v>
      </c>
      <c r="D24" s="102">
        <f>Financials!D24/Financials!D$17</f>
        <v>1.1798096722132561E-2</v>
      </c>
      <c r="E24" s="102">
        <f>Financials!E24/Financials!E$17</f>
        <v>6.9069265484989206E-3</v>
      </c>
      <c r="F24" s="102">
        <f>Financials!F24/Financials!F$17</f>
        <v>5.8669802691754865E-3</v>
      </c>
      <c r="G24" s="102">
        <f>Financials!G24/Financials!G$17</f>
        <v>6.5335677649580211E-3</v>
      </c>
      <c r="H24" s="151">
        <f>Financials!H24/Financials!H$17</f>
        <v>7.6340221387251814E-3</v>
      </c>
      <c r="I24" s="151">
        <f>Financials!I24/Financials!I$17</f>
        <v>7.9889860044722698E-3</v>
      </c>
      <c r="J24" s="151">
        <f>Financials!J24/Financials!J$17</f>
        <v>8.1209403111028224E-3</v>
      </c>
      <c r="K24" s="151">
        <f>Financials!K24/Financials!K$17</f>
        <v>8.0616046640794563E-3</v>
      </c>
      <c r="L24" s="151">
        <f>Financials!L24/Financials!L$17</f>
        <v>8.0027056283706495E-3</v>
      </c>
    </row>
    <row r="25" spans="1:14" x14ac:dyDescent="0.25">
      <c r="A25" t="s">
        <v>22</v>
      </c>
      <c r="B25" s="102">
        <f>Financials!B25/Financials!B$17</f>
        <v>4.1299086579748616E-2</v>
      </c>
      <c r="C25" s="102">
        <f>Financials!C25/Financials!C$17</f>
        <v>3.9996599651464272E-2</v>
      </c>
      <c r="D25" s="102">
        <f>Financials!D25/Financials!D$17</f>
        <v>5.0030608269797987E-2</v>
      </c>
      <c r="E25" s="102">
        <f>Financials!E25/Financials!E$17</f>
        <v>4.0081104061743734E-2</v>
      </c>
      <c r="F25" s="102">
        <f>Financials!F25/Financials!F$17</f>
        <v>3.6090422056709787E-2</v>
      </c>
      <c r="G25" s="102">
        <f>Financials!G25/Financials!G$17</f>
        <v>2.7153840551815977E-2</v>
      </c>
      <c r="H25" s="151">
        <f>Financials!H25/Financials!H$17</f>
        <v>3.5152008917850835E-2</v>
      </c>
      <c r="I25" s="151">
        <f>Financials!I25/Financials!I$17</f>
        <v>3.678649369501185E-2</v>
      </c>
      <c r="J25" s="151">
        <f>Financials!J25/Financials!J$17</f>
        <v>3.7394097246473461E-2</v>
      </c>
      <c r="K25" s="151">
        <f>Financials!K25/Financials!K$17</f>
        <v>3.7120877290412385E-2</v>
      </c>
      <c r="L25" s="151">
        <f>Financials!L25/Financials!L$17</f>
        <v>3.684966777714857E-2</v>
      </c>
    </row>
    <row r="26" spans="1:14" x14ac:dyDescent="0.25">
      <c r="A26" t="s">
        <v>23</v>
      </c>
      <c r="B26" s="102">
        <f>Financials!B26/Financials!B$17</f>
        <v>1.0734639706456398E-3</v>
      </c>
      <c r="C26" s="102">
        <f>Financials!C26/Financials!C$17</f>
        <v>2.7344469474787831E-3</v>
      </c>
      <c r="D26" s="102">
        <f>Financials!D26/Financials!D$17</f>
        <v>2.19823028549168E-3</v>
      </c>
      <c r="E26" s="102">
        <f>Financials!E26/Financials!E$17</f>
        <v>6.5406501406239785E-4</v>
      </c>
      <c r="F26" s="102">
        <f>Financials!F26/Financials!F$17</f>
        <v>3.6586959362341567E-4</v>
      </c>
      <c r="G26" s="102">
        <f>Financials!G26/Financials!G$17</f>
        <v>8.6559369115367414E-3</v>
      </c>
      <c r="H26" s="151">
        <f>Financials!H26/Financials!H$17</f>
        <v>2.998113037712791E-3</v>
      </c>
      <c r="I26" s="151">
        <f>Financials!I26/Financials!I$17</f>
        <v>3.1851130926332759E-3</v>
      </c>
      <c r="J26" s="151">
        <f>Financials!J26/Financials!J$17</f>
        <v>3.2882572316406747E-3</v>
      </c>
      <c r="K26" s="151">
        <f>Financials!K26/Financials!K$17</f>
        <v>3.282495439760935E-3</v>
      </c>
      <c r="L26" s="151">
        <f>Financials!L26/Financials!L$17</f>
        <v>3.2537119070453011E-3</v>
      </c>
    </row>
    <row r="27" spans="1:14" x14ac:dyDescent="0.25">
      <c r="A27" t="s">
        <v>24</v>
      </c>
      <c r="B27" s="102">
        <f>Financials!B27/Financials!B$17</f>
        <v>3.589273167304239E-2</v>
      </c>
      <c r="C27" s="102">
        <f>Financials!C27/Financials!C$17</f>
        <v>2.0062056360776979E-2</v>
      </c>
      <c r="D27" s="102">
        <f>Financials!D27/Financials!D$17</f>
        <v>3.4044743725304694E-2</v>
      </c>
      <c r="E27" s="102">
        <f>Financials!E27/Financials!E$17</f>
        <v>1.6103080646216236E-2</v>
      </c>
      <c r="F27" s="102">
        <f>Financials!F27/Financials!F$17</f>
        <v>1.7875343002744022E-2</v>
      </c>
      <c r="G27" s="102">
        <f>Financials!G27/Financials!G$17</f>
        <v>4.7670075635410272E-2</v>
      </c>
      <c r="H27" s="151">
        <f>Financials!H27/Financials!H$17</f>
        <v>5.0123907883405025E-2</v>
      </c>
      <c r="I27" s="151">
        <f>Financials!I27/Financials!I$17</f>
        <v>3.7928494192022162E-2</v>
      </c>
      <c r="J27" s="151">
        <f>Financials!J27/Financials!J$17</f>
        <v>2.5928327433857208E-2</v>
      </c>
      <c r="K27" s="151">
        <f>Financials!K27/Financials!K$17</f>
        <v>3.4616416802966281E-2</v>
      </c>
      <c r="L27" s="151">
        <f>Financials!L27/Financials!L$17</f>
        <v>3.1937672817882366E-2</v>
      </c>
    </row>
    <row r="28" spans="1:14" x14ac:dyDescent="0.25">
      <c r="A28" t="s">
        <v>25</v>
      </c>
      <c r="B28" s="102">
        <f>Financials!B28/Financials!B$17</f>
        <v>1.616051213990163E-2</v>
      </c>
      <c r="C28" s="102">
        <f>Financials!C28/Financials!C$17</f>
        <v>1.1731202448250946E-2</v>
      </c>
      <c r="D28" s="102">
        <f>Financials!D28/Financials!D$17</f>
        <v>1.1547665423785408E-2</v>
      </c>
      <c r="E28" s="102">
        <f>Financials!E28/Financials!E$17</f>
        <v>1.2361828765779318E-2</v>
      </c>
      <c r="F28" s="102">
        <f>Financials!F28/Financials!F$17</f>
        <v>1.3720109760878087E-2</v>
      </c>
      <c r="G28" s="102">
        <f>Financials!G28/Financials!G$17</f>
        <v>1.3254403395790634E-2</v>
      </c>
      <c r="H28" s="151">
        <f>Financials!H28/Financials!H$17</f>
        <v>1.318015658275707E-2</v>
      </c>
      <c r="I28" s="151">
        <f>Financials!I28/Financials!I$17</f>
        <v>1.2820615972575281E-2</v>
      </c>
      <c r="J28" s="151">
        <f>Financials!J28/Financials!J$17</f>
        <v>1.2113197341669997E-2</v>
      </c>
      <c r="K28" s="151">
        <f>Financials!K28/Financials!K$17</f>
        <v>1.117620755371998E-2</v>
      </c>
      <c r="L28" s="151">
        <f>Financials!L28/Financials!L$17</f>
        <v>1.0311352045104444E-2</v>
      </c>
    </row>
    <row r="29" spans="1:14" x14ac:dyDescent="0.25">
      <c r="A29" t="s">
        <v>26</v>
      </c>
      <c r="B29" s="143">
        <f>Financials!B29/Financials!B$17</f>
        <v>5.2248419080334139E-2</v>
      </c>
      <c r="C29" s="143">
        <f>Financials!C29/Financials!C$17</f>
        <v>4.3396948187189185E-2</v>
      </c>
      <c r="D29" s="143">
        <f>Financials!D29/Financials!D$17</f>
        <v>5.4134898992709665E-2</v>
      </c>
      <c r="E29" s="143">
        <f>Financials!E29/Financials!E$17</f>
        <v>5.0467656485054614E-2</v>
      </c>
      <c r="F29" s="143">
        <f>Financials!F29/Financials!F$17</f>
        <v>5.5207108323533254E-2</v>
      </c>
      <c r="G29" s="143">
        <f>Financials!G29/Financials!G$17</f>
        <v>4.3342107179641903E-2</v>
      </c>
      <c r="H29" s="152">
        <f>Financials!H29/Financials!H$17</f>
        <v>4.5093991238051072E-2</v>
      </c>
      <c r="I29" s="152">
        <f>Financials!I29/Financials!I$17</f>
        <v>4.7190754538045498E-2</v>
      </c>
      <c r="J29" s="152">
        <f>Financials!J29/Financials!J$17</f>
        <v>4.7970205558607364E-2</v>
      </c>
      <c r="K29" s="152">
        <f>Financials!K29/Financials!K$17</f>
        <v>4.7619711271539106E-2</v>
      </c>
      <c r="L29" s="152">
        <f>Financials!L29/Financials!L$17</f>
        <v>4.7271796037352203E-2</v>
      </c>
      <c r="N29" s="8"/>
    </row>
    <row r="30" spans="1:14" x14ac:dyDescent="0.25">
      <c r="A30" s="8" t="s">
        <v>27</v>
      </c>
      <c r="B30" s="102">
        <f>Financials!B30/Financials!B$17</f>
        <v>0.35863455382933873</v>
      </c>
      <c r="C30" s="102">
        <f>Financials!C30/Financials!C$17</f>
        <v>0.32821864241084714</v>
      </c>
      <c r="D30" s="102">
        <f>Financials!D30/Financials!D$17</f>
        <v>0.39920140241527075</v>
      </c>
      <c r="E30" s="102">
        <f>Financials!E30/Financials!E$17</f>
        <v>0.30230884949964026</v>
      </c>
      <c r="F30" s="102">
        <f>Financials!F30/Financials!F$17</f>
        <v>0.28766496798641056</v>
      </c>
      <c r="G30" s="102">
        <f>Financials!G30/Financials!G$17</f>
        <v>0.29818246132398379</v>
      </c>
      <c r="H30" s="151">
        <f>Financials!H30/Financials!H$17</f>
        <v>0.31732128176186319</v>
      </c>
      <c r="I30" s="151">
        <f>Financials!I30/Financials!I$17</f>
        <v>0.31638393011493743</v>
      </c>
      <c r="J30" s="151">
        <f>Financials!J30/Financials!J$17</f>
        <v>0.30788638750418967</v>
      </c>
      <c r="K30" s="151">
        <f>Financials!K30/Financials!K$17</f>
        <v>0.31347367338794191</v>
      </c>
      <c r="L30" s="151">
        <f>Financials!L30/Financials!L$17</f>
        <v>0.30777529999409853</v>
      </c>
    </row>
    <row r="31" spans="1:14" x14ac:dyDescent="0.25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</row>
    <row r="32" spans="1:14" x14ac:dyDescent="0.25">
      <c r="A32" t="s">
        <v>28</v>
      </c>
      <c r="B32" s="102">
        <f>Financials!B32/Financials!B$17</f>
        <v>0.55956749160746355</v>
      </c>
      <c r="C32" s="102">
        <f>Financials!C32/Financials!C$17</f>
        <v>0.50753035519474077</v>
      </c>
      <c r="D32" s="102">
        <f>Financials!D32/Financials!D$17</f>
        <v>0.50926595803884467</v>
      </c>
      <c r="E32" s="102">
        <f>Financials!E32/Financials!E$17</f>
        <v>0.54891752240172675</v>
      </c>
      <c r="F32" s="102">
        <f>Financials!F32/Financials!F$17</f>
        <v>0.55851300143734484</v>
      </c>
      <c r="G32" s="102">
        <f>Financials!G32/Financials!G$17</f>
        <v>0.50442680427386888</v>
      </c>
      <c r="H32" s="151">
        <f>Financials!H32/Financials!H$17</f>
        <v>0.45147726316445724</v>
      </c>
      <c r="I32" s="151">
        <f>Financials!I32/Financials!I$17</f>
        <v>0.40123295089682032</v>
      </c>
      <c r="J32" s="151">
        <f>Financials!J32/Financials!J$17</f>
        <v>0.35316530773861099</v>
      </c>
      <c r="K32" s="151">
        <f>Financials!K32/Financials!K$17</f>
        <v>0.29123056386844265</v>
      </c>
      <c r="L32" s="151">
        <f>Financials!L32/Financials!L$17</f>
        <v>0.23675641289120503</v>
      </c>
      <c r="N32" s="8"/>
    </row>
    <row r="33" spans="1:14" x14ac:dyDescent="0.25">
      <c r="A33" t="s">
        <v>29</v>
      </c>
      <c r="B33" s="102">
        <f>Financials!B33/Financials!B$17</f>
        <v>9.8875790459832927E-2</v>
      </c>
      <c r="C33" s="102">
        <f>Financials!C33/Financials!C$17</f>
        <v>7.5884444822260949E-2</v>
      </c>
      <c r="D33" s="102">
        <f>Financials!D33/Financials!D$17</f>
        <v>7.4475485558461799E-2</v>
      </c>
      <c r="E33" s="102">
        <f>Financials!E33/Financials!E$17</f>
        <v>8.1444175551049769E-2</v>
      </c>
      <c r="F33" s="102">
        <f>Financials!F33/Financials!F$17</f>
        <v>9.2538873644322492E-2</v>
      </c>
      <c r="G33" s="102">
        <f>Financials!G33/Financials!G$17</f>
        <v>7.9411978901153785E-2</v>
      </c>
      <c r="H33" s="151">
        <f>Financials!H33/Financials!H$17</f>
        <v>7.8967139086487212E-2</v>
      </c>
      <c r="I33" s="151">
        <f>Financials!I33/Financials!I$17</f>
        <v>7.6812999779173566E-2</v>
      </c>
      <c r="J33" s="151">
        <f>Financials!J33/Financials!J$17</f>
        <v>7.2574596003898817E-2</v>
      </c>
      <c r="K33" s="151">
        <f>Financials!K33/Financials!K$17</f>
        <v>6.6960747454901576E-2</v>
      </c>
      <c r="L33" s="151">
        <f>Financials!L33/Financials!L$17</f>
        <v>6.1779081758463285E-2</v>
      </c>
    </row>
    <row r="34" spans="1:14" x14ac:dyDescent="0.25">
      <c r="A34" t="s">
        <v>30</v>
      </c>
      <c r="B34" s="102">
        <f>Financials!B34/Financials!B$17</f>
        <v>1.3779373877742213E-2</v>
      </c>
      <c r="C34" s="102">
        <f>Financials!C34/Financials!C$17</f>
        <v>1.6024142474603646E-2</v>
      </c>
      <c r="D34" s="102">
        <f>Financials!D34/Financials!D$17</f>
        <v>1.2646780566531249E-2</v>
      </c>
      <c r="E34" s="102">
        <f>Financials!E34/Financials!E$17</f>
        <v>1.3329844986591666E-2</v>
      </c>
      <c r="F34" s="102">
        <f>Financials!F34/Financials!F$17</f>
        <v>1.1276623546321704E-2</v>
      </c>
      <c r="G34" s="102">
        <f>Financials!G34/Financials!G$17</f>
        <v>2.0412197380330632E-2</v>
      </c>
      <c r="H34" s="151">
        <f>Financials!H34/Financials!H$17</f>
        <v>1.6303415872187563E-2</v>
      </c>
      <c r="I34" s="151">
        <f>Financials!I34/Financials!I$17</f>
        <v>1.5862787454188218E-2</v>
      </c>
      <c r="J34" s="151">
        <f>Financials!J34/Financials!J$17</f>
        <v>1.5015104228562405E-2</v>
      </c>
      <c r="K34" s="151">
        <f>Financials!K34/Financials!K$17</f>
        <v>1.3904924285583141E-2</v>
      </c>
      <c r="L34" s="151">
        <f>Financials!L34/Financials!L$17</f>
        <v>1.2907518176126582E-2</v>
      </c>
      <c r="N34" s="6"/>
    </row>
    <row r="35" spans="1:14" x14ac:dyDescent="0.25">
      <c r="A35" t="s">
        <v>31</v>
      </c>
      <c r="B35" s="143">
        <f>Financials!B35/Financials!B$17</f>
        <v>2.9959403544382857E-2</v>
      </c>
      <c r="C35" s="143">
        <f>Financials!C35/Financials!C$17</f>
        <v>2.5601790850228814E-2</v>
      </c>
      <c r="D35" s="143">
        <f>Financials!D35/Financials!D$17</f>
        <v>2.8006566865156658E-2</v>
      </c>
      <c r="E35" s="143">
        <f>Financials!E35/Financials!E$17</f>
        <v>3.3566616521682253E-2</v>
      </c>
      <c r="F35" s="143">
        <f>Financials!F35/Financials!F$17</f>
        <v>3.6364824251927351E-2</v>
      </c>
      <c r="G35" s="143">
        <f>Financials!G35/Financials!G$17</f>
        <v>2.8485523153590861E-2</v>
      </c>
      <c r="H35" s="152">
        <f>Financials!H35/Financials!H$17</f>
        <v>2.7873057576275655E-2</v>
      </c>
      <c r="I35" s="152">
        <f>Financials!I35/Financials!I$17</f>
        <v>2.9169088434933634E-2</v>
      </c>
      <c r="J35" s="152">
        <f>Financials!J35/Financials!J$17</f>
        <v>2.965087508937542E-2</v>
      </c>
      <c r="K35" s="152">
        <f>Financials!K35/Financials!K$17</f>
        <v>2.9434230982801731E-2</v>
      </c>
      <c r="L35" s="152">
        <f>Financials!L35/Financials!L$17</f>
        <v>2.9219181015213761E-2</v>
      </c>
    </row>
    <row r="36" spans="1:14" x14ac:dyDescent="0.25">
      <c r="A36" s="8" t="s">
        <v>32</v>
      </c>
      <c r="B36" s="145">
        <f>Financials!B36/Financials!B$17</f>
        <v>1.0608166133187602</v>
      </c>
      <c r="C36" s="145">
        <f>Financials!C36/Financials!C$17</f>
        <v>0.95325937575268127</v>
      </c>
      <c r="D36" s="145">
        <f>Financials!D36/Financials!D$17</f>
        <v>1.0235961934442652</v>
      </c>
      <c r="E36" s="145">
        <f>Financials!E36/Financials!E$17</f>
        <v>0.97956700896069071</v>
      </c>
      <c r="F36" s="145">
        <f>Financials!F36/Financials!F$17</f>
        <v>0.98635829086632698</v>
      </c>
      <c r="G36" s="145">
        <f>Financials!G36/Financials!G$17</f>
        <v>0.93091896503292793</v>
      </c>
      <c r="H36" s="154">
        <f>Financials!H36/Financials!H$17</f>
        <v>0.89194215746127092</v>
      </c>
      <c r="I36" s="154">
        <f>Financials!I36/Financials!I$17</f>
        <v>0.83946175668005318</v>
      </c>
      <c r="J36" s="154">
        <f>Financials!J36/Financials!J$17</f>
        <v>0.77829227056463723</v>
      </c>
      <c r="K36" s="154">
        <f>Financials!K36/Financials!K$17</f>
        <v>0.71500413997967094</v>
      </c>
      <c r="L36" s="154">
        <f>Financials!L36/Financials!L$17</f>
        <v>0.64843749383510718</v>
      </c>
    </row>
    <row r="37" spans="1:14" x14ac:dyDescent="0.25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</row>
    <row r="38" spans="1:14" x14ac:dyDescent="0.25">
      <c r="A38" s="6" t="s">
        <v>33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</row>
    <row r="39" spans="1:14" x14ac:dyDescent="0.25">
      <c r="A39" t="s">
        <v>34</v>
      </c>
      <c r="B39" s="102">
        <f>Financials!B39/Financials!B$17</f>
        <v>1.7370598797720354E-3</v>
      </c>
      <c r="C39" s="102">
        <f>Financials!C39/Financials!C$17</f>
        <v>1.2609625819979882E-3</v>
      </c>
      <c r="D39" s="102">
        <f>Financials!D39/Financials!D$17</f>
        <v>1.2521564917357671E-3</v>
      </c>
      <c r="E39" s="102">
        <f>Financials!E39/Financials!E$17</f>
        <v>1.177317025312316E-3</v>
      </c>
      <c r="F39" s="102">
        <f>Financials!F39/Financials!F$17</f>
        <v>1.1760094080752645E-3</v>
      </c>
      <c r="G39" s="102">
        <f>Financials!G39/Financials!G$17</f>
        <v>9.3633932937296478E-4</v>
      </c>
      <c r="H39" s="151">
        <f>Financials!H39/Financials!H$17</f>
        <v>9.3109426408801907E-4</v>
      </c>
      <c r="I39" s="151">
        <f>Financials!I39/Financials!I$17</f>
        <v>9.0569500591191157E-4</v>
      </c>
      <c r="J39" s="151">
        <f>Financials!J39/Financials!J$17</f>
        <v>8.5572037735502334E-4</v>
      </c>
      <c r="K39" s="151">
        <f>Financials!K39/Financials!K$17</f>
        <v>7.8952800614976316E-4</v>
      </c>
      <c r="L39" s="151">
        <f>Financials!L39/Financials!L$17</f>
        <v>7.2843146315494504E-4</v>
      </c>
    </row>
    <row r="40" spans="1:14" x14ac:dyDescent="0.25">
      <c r="A40" t="s">
        <v>35</v>
      </c>
      <c r="B40" s="102">
        <f>Financials!B40/Financials!B$17</f>
        <v>0.21471231165586696</v>
      </c>
      <c r="C40" s="102">
        <f>Financials!C40/Financials!C$17</f>
        <v>0.16350009209277283</v>
      </c>
      <c r="D40" s="102">
        <f>Financials!D40/Financials!D$17</f>
        <v>0.16879069508598141</v>
      </c>
      <c r="E40" s="102">
        <f>Financials!E40/Financials!E$17</f>
        <v>0.16471973314147426</v>
      </c>
      <c r="F40" s="102">
        <f>Financials!F40/Financials!F$17</f>
        <v>0.1717888409773945</v>
      </c>
      <c r="G40" s="102">
        <f>Financials!G40/Financials!G$17</f>
        <v>0.14687002569731269</v>
      </c>
      <c r="H40" s="151">
        <f>Financials!H40/Financials!H$17</f>
        <v>0.15322903017956663</v>
      </c>
      <c r="I40" s="151">
        <f>Financials!I40/Financials!I$17</f>
        <v>0.1565858514049214</v>
      </c>
      <c r="J40" s="151">
        <f>Financials!J40/Financials!J$17</f>
        <v>0.15562908461334102</v>
      </c>
      <c r="K40" s="151">
        <f>Financials!K40/Financials!K$17</f>
        <v>0.15124050428316585</v>
      </c>
      <c r="L40" s="151">
        <f>Financials!L40/Financials!L$17</f>
        <v>0.14715713347207576</v>
      </c>
      <c r="N40" s="20"/>
    </row>
    <row r="41" spans="1:14" x14ac:dyDescent="0.25">
      <c r="A41" t="s">
        <v>36</v>
      </c>
      <c r="B41" s="102">
        <f>Financials!B41/Financials!B$17</f>
        <v>1.0096221406823327</v>
      </c>
      <c r="C41" s="102">
        <f>Financials!C41/Financials!C$17</f>
        <v>0.82364942406596675</v>
      </c>
      <c r="D41" s="102">
        <f>Financials!D41/Financials!D$17</f>
        <v>0.94023039679447939</v>
      </c>
      <c r="E41" s="102">
        <f>Financials!E41/Financials!E$17</f>
        <v>1.0058996664268429</v>
      </c>
      <c r="F41" s="102">
        <f>Financials!F41/Financials!F$17</f>
        <v>1.0931138115771593</v>
      </c>
      <c r="G41" s="102">
        <f>Financials!G41/Financials!G$17</f>
        <v>0.93148076863055174</v>
      </c>
      <c r="H41" s="151">
        <f>Financials!H41/Financials!H$17</f>
        <v>1.0225870234316565</v>
      </c>
      <c r="I41" s="151">
        <f>Financials!I41/Financials!I$17</f>
        <v>1.1049756207686061</v>
      </c>
      <c r="J41" s="151">
        <f>Financials!J41/Financials!J$17</f>
        <v>1.1652990095555136</v>
      </c>
      <c r="K41" s="151">
        <f>Financials!K41/Financials!K$17</f>
        <v>1.2023376493938591</v>
      </c>
      <c r="L41" s="151">
        <f>Financials!L41/Financials!L$17</f>
        <v>1.2404777237868674</v>
      </c>
      <c r="N41" s="8"/>
    </row>
    <row r="42" spans="1:14" x14ac:dyDescent="0.25">
      <c r="A42" s="20" t="s">
        <v>37</v>
      </c>
      <c r="B42" s="102">
        <f>Financials!B42/Financials!B$17</f>
        <v>-1.4423452260129596E-2</v>
      </c>
      <c r="C42" s="102">
        <f>Financials!C42/Financials!C$17</f>
        <v>-9.5068077811308986E-3</v>
      </c>
      <c r="D42" s="102">
        <f>Financials!D42/Financials!D$17</f>
        <v>-9.7946463353553344E-3</v>
      </c>
      <c r="E42" s="102">
        <f>Financials!E42/Financials!E$17</f>
        <v>-9.392373601936033E-3</v>
      </c>
      <c r="F42" s="102">
        <f>Financials!F42/Financials!F$17</f>
        <v>-6.2328498627989021E-3</v>
      </c>
      <c r="G42" s="102">
        <f>Financials!G42/Financials!G$17</f>
        <v>-1.1745856698467524E-2</v>
      </c>
      <c r="H42" s="151">
        <f>Financials!H42/Financials!H$17</f>
        <v>-1.1680060268393039E-2</v>
      </c>
      <c r="I42" s="151">
        <f>Financials!I42/Financials!I$17</f>
        <v>-1.1361440685272757E-2</v>
      </c>
      <c r="J42" s="151">
        <f>Financials!J42/Financials!J$17</f>
        <v>-1.0734536733709128E-2</v>
      </c>
      <c r="K42" s="151">
        <f>Financials!K42/Financials!K$17</f>
        <v>-9.9041902104786955E-3</v>
      </c>
      <c r="L42" s="151">
        <f>Financials!L42/Financials!L$17</f>
        <v>-9.137768021132588E-3</v>
      </c>
      <c r="N42" s="8"/>
    </row>
    <row r="43" spans="1:14" x14ac:dyDescent="0.25">
      <c r="A43" t="s">
        <v>38</v>
      </c>
      <c r="B43" s="143">
        <f>Financials!B43/Financials!B$17</f>
        <v>-1.2724646732766023</v>
      </c>
      <c r="C43" s="143">
        <f>Financials!C43/Financials!C$17</f>
        <v>-0.932163046712288</v>
      </c>
      <c r="D43" s="143">
        <f>Financials!D43/Financials!D$17</f>
        <v>-1.1240747954811063</v>
      </c>
      <c r="E43" s="143">
        <f>Financials!E43/Financials!E$17</f>
        <v>-1.141971351952384</v>
      </c>
      <c r="F43" s="143">
        <f>Financials!F43/Financials!F$17</f>
        <v>-1.246204102966157</v>
      </c>
      <c r="G43" s="143">
        <f>Financials!G43/Financials!G$17</f>
        <v>-0.99846024199169781</v>
      </c>
      <c r="H43" s="152">
        <f>Financials!H43/Financials!H$17</f>
        <v>-1.0570092450681889</v>
      </c>
      <c r="I43" s="152">
        <f>Financials!I43/Financials!I$17</f>
        <v>-1.0905674831742196</v>
      </c>
      <c r="J43" s="152">
        <f>Financials!J43/Financials!J$17</f>
        <v>-1.0893415483771376</v>
      </c>
      <c r="K43" s="152">
        <f>Financials!K43/Financials!K$17</f>
        <v>-1.0594676314523672</v>
      </c>
      <c r="L43" s="152">
        <f>Financials!L43/Financials!L$17</f>
        <v>-1.0276630145360726</v>
      </c>
      <c r="N43" s="8"/>
    </row>
    <row r="44" spans="1:14" x14ac:dyDescent="0.25">
      <c r="A44" s="8" t="s">
        <v>39</v>
      </c>
      <c r="B44" s="145">
        <f>Financials!B44/Financials!B$17</f>
        <v>-6.0816613318760246E-2</v>
      </c>
      <c r="C44" s="145">
        <f>Financials!C44/Financials!C$17</f>
        <v>4.6740624247318681E-2</v>
      </c>
      <c r="D44" s="145">
        <f>Financials!D44/Financials!D$17</f>
        <v>-2.3596193444265123E-2</v>
      </c>
      <c r="E44" s="145">
        <f>Financials!E44/Financials!E$17</f>
        <v>2.0432991039309307E-2</v>
      </c>
      <c r="F44" s="145">
        <f>Financials!F44/Financials!F$17</f>
        <v>1.3641709133673069E-2</v>
      </c>
      <c r="G44" s="145">
        <f>Financials!G44/Financials!G$17</f>
        <v>6.9081034967072061E-2</v>
      </c>
      <c r="H44" s="154">
        <f>Financials!H44/Financials!H$17</f>
        <v>0.10805784253872927</v>
      </c>
      <c r="I44" s="154">
        <f>Financials!I44/Financials!I$17</f>
        <v>0.16053824331994695</v>
      </c>
      <c r="J44" s="154">
        <f>Financials!J44/Financials!J$17</f>
        <v>0.22170772943536293</v>
      </c>
      <c r="K44" s="154">
        <f>Financials!K44/Financials!K$17</f>
        <v>0.28499586002032889</v>
      </c>
      <c r="L44" s="154">
        <f>Financials!L44/Financials!L$17</f>
        <v>0.35156250616489287</v>
      </c>
      <c r="N44" s="8"/>
    </row>
    <row r="45" spans="1:14" x14ac:dyDescent="0.25">
      <c r="A45" s="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N45" s="8"/>
    </row>
    <row r="46" spans="1:14" ht="15.75" thickBot="1" x14ac:dyDescent="0.3">
      <c r="A46" s="8" t="s">
        <v>40</v>
      </c>
      <c r="B46" s="146">
        <f>Financials!B46/Financials!B$17</f>
        <v>1</v>
      </c>
      <c r="C46" s="146">
        <f>Financials!C46/Financials!C$17</f>
        <v>1</v>
      </c>
      <c r="D46" s="146">
        <f>Financials!D46/Financials!D$17</f>
        <v>1</v>
      </c>
      <c r="E46" s="146">
        <f>Financials!E46/Financials!E$17</f>
        <v>1</v>
      </c>
      <c r="F46" s="146">
        <f>Financials!F46/Financials!F$17</f>
        <v>1</v>
      </c>
      <c r="G46" s="146">
        <f>Financials!G46/Financials!G$17</f>
        <v>1</v>
      </c>
      <c r="H46" s="155">
        <f>Financials!H46/Financials!H$17</f>
        <v>1.0000000000000002</v>
      </c>
      <c r="I46" s="155">
        <f>Financials!I46/Financials!I$17</f>
        <v>1.0000000000000002</v>
      </c>
      <c r="J46" s="155">
        <f>Financials!J46/Financials!J$17</f>
        <v>1.0000000000000002</v>
      </c>
      <c r="K46" s="155">
        <f>Financials!K46/Financials!K$17</f>
        <v>0.99999999999999989</v>
      </c>
      <c r="L46" s="155">
        <f>Financials!L46/Financials!L$17</f>
        <v>1.0000000000000002</v>
      </c>
      <c r="N46" s="8"/>
    </row>
    <row r="47" spans="1:14" ht="15.75" thickTop="1" x14ac:dyDescent="0.25"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N47" s="8"/>
    </row>
    <row r="48" spans="1:14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</row>
    <row r="49" spans="1:14" x14ac:dyDescent="0.25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</row>
    <row r="52" spans="1:14" x14ac:dyDescent="0.25">
      <c r="A52" s="11" t="s">
        <v>0</v>
      </c>
      <c r="B52" s="293" t="s">
        <v>1</v>
      </c>
      <c r="C52" s="293"/>
      <c r="D52" s="293"/>
      <c r="E52" s="293"/>
      <c r="F52" s="293"/>
      <c r="G52" s="293"/>
      <c r="H52" s="294" t="s">
        <v>2</v>
      </c>
      <c r="I52" s="294"/>
      <c r="J52" s="294"/>
      <c r="K52" s="294"/>
      <c r="L52" s="294"/>
      <c r="N52" s="11"/>
    </row>
    <row r="53" spans="1:14" ht="15.75" thickBot="1" x14ac:dyDescent="0.3">
      <c r="A53" s="11" t="s">
        <v>384</v>
      </c>
      <c r="B53" s="136">
        <v>42764</v>
      </c>
      <c r="C53" s="136">
        <v>43128</v>
      </c>
      <c r="D53" s="136">
        <v>43499</v>
      </c>
      <c r="E53" s="136">
        <v>43863</v>
      </c>
      <c r="F53" s="136">
        <v>44227</v>
      </c>
      <c r="G53" s="136">
        <v>44591</v>
      </c>
      <c r="H53" s="171">
        <v>44957</v>
      </c>
      <c r="I53" s="137">
        <v>45322</v>
      </c>
      <c r="J53" s="137">
        <v>45688</v>
      </c>
      <c r="K53" s="137">
        <v>46053</v>
      </c>
      <c r="L53" s="137">
        <v>46418</v>
      </c>
      <c r="N53" s="11"/>
    </row>
    <row r="54" spans="1:14" x14ac:dyDescent="0.25">
      <c r="A54" s="3"/>
      <c r="B54" s="14"/>
      <c r="C54" s="14"/>
      <c r="D54" s="14"/>
      <c r="E54" s="14"/>
      <c r="F54" s="14"/>
      <c r="G54" s="14"/>
      <c r="H54" s="19"/>
      <c r="I54" s="19"/>
      <c r="J54" s="19"/>
      <c r="K54" s="19"/>
      <c r="L54" s="19"/>
      <c r="N54" s="19"/>
    </row>
    <row r="55" spans="1:14" x14ac:dyDescent="0.25">
      <c r="A55" t="s">
        <v>42</v>
      </c>
      <c r="B55" s="147">
        <f>Financials!B55/Financials!B$55</f>
        <v>1</v>
      </c>
      <c r="C55" s="147">
        <f>Financials!C55/Financials!C$55</f>
        <v>1</v>
      </c>
      <c r="D55" s="147">
        <f>Financials!D55/Financials!D$55</f>
        <v>1</v>
      </c>
      <c r="E55" s="147">
        <f>Financials!E55/Financials!E$55</f>
        <v>1</v>
      </c>
      <c r="F55" s="147">
        <f>Financials!F55/Financials!F$55</f>
        <v>1</v>
      </c>
      <c r="G55" s="147">
        <f>Financials!G55/Financials!G$55</f>
        <v>1</v>
      </c>
      <c r="H55" s="156">
        <f>Financials!H55/Financials!H$55</f>
        <v>1</v>
      </c>
      <c r="I55" s="156">
        <f>Financials!I55/Financials!I$55</f>
        <v>1</v>
      </c>
      <c r="J55" s="156">
        <f>Financials!J55/Financials!J$55</f>
        <v>1</v>
      </c>
      <c r="K55" s="156">
        <f>Financials!K55/Financials!K$55</f>
        <v>1</v>
      </c>
      <c r="L55" s="156">
        <f>Financials!L55/Financials!L$55</f>
        <v>1</v>
      </c>
      <c r="N55" s="3"/>
    </row>
    <row r="56" spans="1:14" x14ac:dyDescent="0.25"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N56" s="7"/>
    </row>
    <row r="57" spans="1:14" x14ac:dyDescent="0.25">
      <c r="A57" t="s">
        <v>43</v>
      </c>
      <c r="B57" s="148">
        <f>Financials!B57/Financials!B$55</f>
        <v>0.65913359038330688</v>
      </c>
      <c r="C57" s="148">
        <f>Financials!C57/Financials!C$55</f>
        <v>0.6604874725607448</v>
      </c>
      <c r="D57" s="148">
        <f>Financials!D57/Financials!D$55</f>
        <v>0.66371388688582067</v>
      </c>
      <c r="E57" s="148">
        <f>Financials!E57/Financials!E$55</f>
        <v>0.66469508205053274</v>
      </c>
      <c r="F57" s="148">
        <f>Financials!F57/Financials!F$55</f>
        <v>0.66620597501784906</v>
      </c>
      <c r="G57" s="148">
        <f>Financials!G57/Financials!G$55</f>
        <v>0.66580989756385023</v>
      </c>
      <c r="H57" s="157">
        <f>Financials!H57/Financials!H$55</f>
        <v>0.6633</v>
      </c>
      <c r="I57" s="157">
        <f>Financials!I57/Financials!I$55</f>
        <v>0.6633</v>
      </c>
      <c r="J57" s="157">
        <f>Financials!J57/Financials!J$55</f>
        <v>0.6633</v>
      </c>
      <c r="K57" s="157">
        <f>Financials!K57/Financials!K$55</f>
        <v>0.6633</v>
      </c>
      <c r="L57" s="157">
        <f>Financials!L57/Financials!L$55</f>
        <v>0.6633</v>
      </c>
      <c r="N57" s="64"/>
    </row>
    <row r="58" spans="1:14" x14ac:dyDescent="0.25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N58" s="64"/>
    </row>
    <row r="59" spans="1:14" x14ac:dyDescent="0.25">
      <c r="A59" s="8" t="s">
        <v>44</v>
      </c>
      <c r="B59" s="147">
        <f>Financials!B59/Financials!B$55</f>
        <v>0.34086640961669312</v>
      </c>
      <c r="C59" s="147">
        <f>Financials!C59/Financials!C$55</f>
        <v>0.33951252743925514</v>
      </c>
      <c r="D59" s="147">
        <f>Financials!D59/Financials!D$55</f>
        <v>0.33628611311417927</v>
      </c>
      <c r="E59" s="147">
        <f>Financials!E59/Financials!E$55</f>
        <v>0.33530491794946732</v>
      </c>
      <c r="F59" s="147">
        <f>Financials!F59/Financials!F$55</f>
        <v>0.33379402498215094</v>
      </c>
      <c r="G59" s="147">
        <f>Financials!G59/Financials!G$55</f>
        <v>0.33419010243614983</v>
      </c>
      <c r="H59" s="156">
        <f>Financials!H59/Financials!H$55</f>
        <v>0.3367</v>
      </c>
      <c r="I59" s="156">
        <f>Financials!I59/Financials!I$55</f>
        <v>0.3367</v>
      </c>
      <c r="J59" s="156">
        <f>Financials!J59/Financials!J$55</f>
        <v>0.3367</v>
      </c>
      <c r="K59" s="156">
        <f>Financials!K59/Financials!K$55</f>
        <v>0.33670000000000005</v>
      </c>
      <c r="L59" s="156">
        <f>Financials!L59/Financials!L$55</f>
        <v>0.3367</v>
      </c>
      <c r="N59" s="64"/>
    </row>
    <row r="60" spans="1:14" x14ac:dyDescent="0.25"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N60" s="8"/>
    </row>
    <row r="61" spans="1:14" x14ac:dyDescent="0.25">
      <c r="A61" t="s">
        <v>45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</row>
    <row r="62" spans="1:14" x14ac:dyDescent="0.25">
      <c r="A62" t="s">
        <v>46</v>
      </c>
      <c r="B62" s="147">
        <f>Financials!B62/Financials!B$55</f>
        <v>0.17908822862327059</v>
      </c>
      <c r="C62" s="147">
        <f>Financials!C62/Financials!C$55</f>
        <v>0.1850503368405117</v>
      </c>
      <c r="D62" s="147">
        <f>Financials!D62/Financials!D$55</f>
        <v>0.16807690017663754</v>
      </c>
      <c r="E62" s="147">
        <f>Financials!E62/Financials!E$55</f>
        <v>0.16698538147303418</v>
      </c>
      <c r="F62" s="147">
        <f>Financials!F62/Financials!F$55</f>
        <v>0.17422004467180632</v>
      </c>
      <c r="G62" s="147">
        <f>Financials!G62/Financials!G$55</f>
        <v>0.1802224256178141</v>
      </c>
      <c r="H62" s="156">
        <f>Financials!H62/Financials!H$55</f>
        <v>0.17560000000000001</v>
      </c>
      <c r="I62" s="156">
        <f>Financials!I62/Financials!I$55</f>
        <v>0.17560000000000001</v>
      </c>
      <c r="J62" s="156">
        <f>Financials!J62/Financials!J$55</f>
        <v>0.17559999999999998</v>
      </c>
      <c r="K62" s="156">
        <f>Financials!K62/Financials!K$55</f>
        <v>0.17560000000000001</v>
      </c>
      <c r="L62" s="156">
        <f>Financials!L62/Financials!L$55</f>
        <v>0.17560000000000003</v>
      </c>
    </row>
    <row r="63" spans="1:14" x14ac:dyDescent="0.25">
      <c r="A63" t="s">
        <v>47</v>
      </c>
      <c r="B63" s="147">
        <f>Financials!B63/Financials!B$55</f>
        <v>1.8044908142435926E-2</v>
      </c>
      <c r="C63" s="147">
        <f>Financials!C63/Financials!C$55</f>
        <v>1.6107788963742337E-2</v>
      </c>
      <c r="D63" s="147">
        <f>Financials!D63/Financials!D$55</f>
        <v>1.578491237587409E-2</v>
      </c>
      <c r="E63" s="147">
        <f>Financials!E63/Financials!E$55</f>
        <v>1.5596907301639739E-2</v>
      </c>
      <c r="F63" s="147">
        <f>Financials!F63/Financials!F$55</f>
        <v>1.7508466027811802E-2</v>
      </c>
      <c r="G63" s="147">
        <f>Financials!G63/Financials!G$55</f>
        <v>1.9020274082525671E-2</v>
      </c>
      <c r="H63" s="156">
        <f>Financials!H63/Financials!H$55</f>
        <v>1.9295066354521995E-2</v>
      </c>
      <c r="I63" s="156">
        <f>Financials!I63/Financials!I$55</f>
        <v>1.8897130309526885E-2</v>
      </c>
      <c r="J63" s="156">
        <f>Financials!J63/Financials!J$55</f>
        <v>1.8486372041137168E-2</v>
      </c>
      <c r="K63" s="156">
        <f>Financials!K63/Financials!K$55</f>
        <v>1.8064840370550318E-2</v>
      </c>
      <c r="L63" s="156">
        <f>Financials!L63/Financials!L$55</f>
        <v>1.7569603034293568E-2</v>
      </c>
    </row>
    <row r="64" spans="1:14" x14ac:dyDescent="0.25">
      <c r="A64" t="s">
        <v>382</v>
      </c>
      <c r="B64" s="148">
        <f>Financials!B64/Financials!B$55</f>
        <v>0</v>
      </c>
      <c r="C64" s="148">
        <f>Financials!C64/Financials!C$55</f>
        <v>0</v>
      </c>
      <c r="D64" s="148">
        <f>Financials!D64/Financials!D$55</f>
        <v>0</v>
      </c>
      <c r="E64" s="148">
        <f>Financials!E64/Financials!E$55</f>
        <v>0</v>
      </c>
      <c r="F64" s="148">
        <f>Financials!F64/Financials!F$55</f>
        <v>0</v>
      </c>
      <c r="G64" s="148">
        <f>Financials!G64/Financials!G$55</f>
        <v>0</v>
      </c>
      <c r="H64" s="157">
        <f>Financials!H64/Financials!H$55</f>
        <v>0</v>
      </c>
      <c r="I64" s="157">
        <f>Financials!I64/Financials!I$55</f>
        <v>0</v>
      </c>
      <c r="J64" s="157">
        <f>Financials!J64/Financials!J$55</f>
        <v>0</v>
      </c>
      <c r="K64" s="157">
        <f>Financials!K64/Financials!K$55</f>
        <v>0</v>
      </c>
      <c r="L64" s="157">
        <f>Financials!L64/Financials!L$55</f>
        <v>0</v>
      </c>
      <c r="N64" s="8"/>
    </row>
    <row r="65" spans="1:14" x14ac:dyDescent="0.25">
      <c r="A65" t="s">
        <v>48</v>
      </c>
      <c r="B65" s="149">
        <f>Financials!B65/Financials!B$55</f>
        <v>0.19713313676570651</v>
      </c>
      <c r="C65" s="149">
        <f>Financials!C65/Financials!C$55</f>
        <v>0.20115812580425402</v>
      </c>
      <c r="D65" s="149">
        <f>Financials!D65/Financials!D$55</f>
        <v>0.18386181255251163</v>
      </c>
      <c r="E65" s="149">
        <f>Financials!E65/Financials!E$55</f>
        <v>0.18258228877467392</v>
      </c>
      <c r="F65" s="149">
        <f>Financials!F65/Financials!F$55</f>
        <v>0.19172851069961813</v>
      </c>
      <c r="G65" s="149">
        <f>Financials!G65/Financials!G$55</f>
        <v>0.19924269970033978</v>
      </c>
      <c r="H65" s="158">
        <f>Financials!H65/Financials!H$55</f>
        <v>0.194895066354522</v>
      </c>
      <c r="I65" s="158">
        <f>Financials!I65/Financials!I$55</f>
        <v>0.19449713030952689</v>
      </c>
      <c r="J65" s="158">
        <f>Financials!J65/Financials!J$55</f>
        <v>0.19408637204113718</v>
      </c>
      <c r="K65" s="158">
        <f>Financials!K65/Financials!K$55</f>
        <v>0.19366484037055032</v>
      </c>
      <c r="L65" s="158">
        <f>Financials!L65/Financials!L$55</f>
        <v>0.19316960303429359</v>
      </c>
    </row>
    <row r="66" spans="1:14" x14ac:dyDescent="0.2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</row>
    <row r="67" spans="1:14" x14ac:dyDescent="0.25">
      <c r="A67" s="8" t="s">
        <v>49</v>
      </c>
      <c r="B67" s="147">
        <f>Financials!B67/Financials!B$55</f>
        <v>0.14373327285098661</v>
      </c>
      <c r="C67" s="147">
        <f>Financials!C67/Financials!C$55</f>
        <v>0.13835440163500112</v>
      </c>
      <c r="D67" s="147">
        <f>Financials!D67/Financials!D$55</f>
        <v>0.15242430056166767</v>
      </c>
      <c r="E67" s="147">
        <f>Financials!E67/Financials!E$55</f>
        <v>0.15272262917479337</v>
      </c>
      <c r="F67" s="147">
        <f>Financials!F67/Financials!F$55</f>
        <v>0.14206551428253281</v>
      </c>
      <c r="G67" s="147">
        <f>Financials!G67/Financials!G$55</f>
        <v>0.13494740273581002</v>
      </c>
      <c r="H67" s="156">
        <f>Financials!H67/Financials!H$55</f>
        <v>0.141804933645478</v>
      </c>
      <c r="I67" s="156">
        <f>Financials!I67/Financials!I$55</f>
        <v>0.1422028696904731</v>
      </c>
      <c r="J67" s="156">
        <f>Financials!J67/Financials!J$55</f>
        <v>0.14261362795886282</v>
      </c>
      <c r="K67" s="156">
        <f>Financials!K67/Financials!K$55</f>
        <v>0.14303515962944971</v>
      </c>
      <c r="L67" s="156">
        <f>Financials!L67/Financials!L$55</f>
        <v>0.14353039696570644</v>
      </c>
    </row>
    <row r="68" spans="1:14" x14ac:dyDescent="0.2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</row>
    <row r="69" spans="1:14" x14ac:dyDescent="0.25">
      <c r="A69" t="s">
        <v>50</v>
      </c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</row>
    <row r="70" spans="1:14" x14ac:dyDescent="0.25">
      <c r="A70" t="s">
        <v>51</v>
      </c>
      <c r="B70" s="147">
        <f>Financials!B70/Financials!B$55</f>
        <v>-6.6228169652982538E-4</v>
      </c>
      <c r="C70" s="147">
        <f>Financials!C70/Financials!C$55</f>
        <v>-3.5576413594731661E-4</v>
      </c>
      <c r="D70" s="147">
        <f>Financials!D70/Financials!D$55</f>
        <v>-2.9108807398929592E-4</v>
      </c>
      <c r="E70" s="147">
        <f>Financials!E70/Financials!E$55</f>
        <v>-3.4942154850924062E-4</v>
      </c>
      <c r="F70" s="147">
        <f>Financials!F70/Financials!F$55</f>
        <v>-1.16592104487486E-3</v>
      </c>
      <c r="G70" s="147">
        <f>Financials!G70/Financials!G$55</f>
        <v>-1.2600774853617864E-3</v>
      </c>
      <c r="H70" s="156">
        <f>Financials!H70/Financials!H$55</f>
        <v>0</v>
      </c>
      <c r="I70" s="156">
        <f>Financials!I70/Financials!I$55</f>
        <v>3.65912366557703E-4</v>
      </c>
      <c r="J70" s="156">
        <f>Financials!J70/Financials!J$55</f>
        <v>5.0448118068049377E-4</v>
      </c>
      <c r="K70" s="156">
        <f>Financials!K70/Financials!K$55</f>
        <v>1.5502835552748792E-3</v>
      </c>
      <c r="L70" s="156">
        <f>Financials!L70/Financials!L$55</f>
        <v>3.2763605661765309E-3</v>
      </c>
    </row>
    <row r="71" spans="1:14" x14ac:dyDescent="0.25">
      <c r="A71" t="s">
        <v>52</v>
      </c>
      <c r="B71" s="147">
        <f>Financials!B71/Financials!B$55</f>
        <v>1.0895894760716715E-2</v>
      </c>
      <c r="C71" s="147">
        <f>Financials!C71/Financials!C$55</f>
        <v>1.0196048747256074E-2</v>
      </c>
      <c r="D71" s="147">
        <f>Financials!D71/Financials!D$55</f>
        <v>8.9112644468995819E-3</v>
      </c>
      <c r="E71" s="147">
        <f>Financials!E71/Financials!E$55</f>
        <v>1.0272993526171673E-2</v>
      </c>
      <c r="F71" s="147">
        <f>Financials!F71/Financials!F$55</f>
        <v>1.2726879720178949E-2</v>
      </c>
      <c r="G71" s="147">
        <f>Financials!G71/Financials!G$55</f>
        <v>1.4550446982709981E-2</v>
      </c>
      <c r="H71" s="156">
        <f>Financials!H71/Financials!H$55</f>
        <v>1.2771466560595681E-2</v>
      </c>
      <c r="I71" s="156">
        <f>Financials!I71/Financials!I$55</f>
        <v>1.0846102650765932E-2</v>
      </c>
      <c r="J71" s="156">
        <f>Financials!J71/Financials!J$55</f>
        <v>9.073739258326028E-3</v>
      </c>
      <c r="K71" s="156">
        <f>Financials!K71/Financials!K$55</f>
        <v>7.7051157837291625E-3</v>
      </c>
      <c r="L71" s="156">
        <f>Financials!L71/Financials!L$55</f>
        <v>6.671392960842246E-3</v>
      </c>
    </row>
    <row r="72" spans="1:14" x14ac:dyDescent="0.25">
      <c r="A72" t="s">
        <v>83</v>
      </c>
      <c r="B72" s="148">
        <f>Financials!B72/Financials!B$55</f>
        <v>0</v>
      </c>
      <c r="C72" s="148">
        <f>Financials!C72/Financials!C$55</f>
        <v>0</v>
      </c>
      <c r="D72" s="148">
        <f>Financials!D72/Financials!D$55</f>
        <v>0</v>
      </c>
      <c r="E72" s="148">
        <f>Financials!E72/Financials!E$55</f>
        <v>0</v>
      </c>
      <c r="F72" s="148">
        <f>Financials!F72/Financials!F$55</f>
        <v>0</v>
      </c>
      <c r="G72" s="148">
        <f>Financials!G72/Financials!G$55</f>
        <v>0</v>
      </c>
      <c r="H72" s="157">
        <f>Financials!H72/Financials!H$55</f>
        <v>0</v>
      </c>
      <c r="I72" s="157">
        <f>Financials!I72/Financials!I$55</f>
        <v>0</v>
      </c>
      <c r="J72" s="157">
        <f>Financials!J72/Financials!J$55</f>
        <v>0</v>
      </c>
      <c r="K72" s="157">
        <f>Financials!K72/Financials!K$55</f>
        <v>0</v>
      </c>
      <c r="L72" s="157">
        <f>Financials!L72/Financials!L$55</f>
        <v>0</v>
      </c>
    </row>
    <row r="73" spans="1:14" x14ac:dyDescent="0.25">
      <c r="A73" t="s">
        <v>53</v>
      </c>
      <c r="B73" s="149">
        <f>Financials!B73/Financials!B$55</f>
        <v>1.0233613064186891E-2</v>
      </c>
      <c r="C73" s="149">
        <f>Financials!C73/Financials!C$55</f>
        <v>9.8402846113087583E-3</v>
      </c>
      <c r="D73" s="149">
        <f>Financials!D73/Financials!D$55</f>
        <v>8.6201763729102845E-3</v>
      </c>
      <c r="E73" s="149">
        <f>Financials!E73/Financials!E$55</f>
        <v>9.9235719776624327E-3</v>
      </c>
      <c r="F73" s="149">
        <f>Financials!F73/Financials!F$55</f>
        <v>1.156095867530409E-2</v>
      </c>
      <c r="G73" s="149">
        <f>Financials!G73/Financials!G$55</f>
        <v>1.3290369497348195E-2</v>
      </c>
      <c r="H73" s="158">
        <f>Financials!H73/Financials!H$55</f>
        <v>1.2771466560595681E-2</v>
      </c>
      <c r="I73" s="158">
        <f>Financials!I73/Financials!I$55</f>
        <v>1.1212015017323636E-2</v>
      </c>
      <c r="J73" s="158">
        <f>Financials!J73/Financials!J$55</f>
        <v>9.5782204390065222E-3</v>
      </c>
      <c r="K73" s="158">
        <f>Financials!K73/Financials!K$55</f>
        <v>9.2553993390040428E-3</v>
      </c>
      <c r="L73" s="158">
        <f>Financials!L73/Financials!L$55</f>
        <v>9.947753527018776E-3</v>
      </c>
    </row>
    <row r="74" spans="1:14" x14ac:dyDescent="0.25"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</row>
    <row r="75" spans="1:14" x14ac:dyDescent="0.25">
      <c r="A75" s="8" t="s">
        <v>54</v>
      </c>
      <c r="B75" s="147">
        <f>Financials!B75/Financials!B$55</f>
        <v>0.13349965978679973</v>
      </c>
      <c r="C75" s="147">
        <f>Financials!C75/Financials!C$55</f>
        <v>0.12851411702369236</v>
      </c>
      <c r="D75" s="147">
        <f>Financials!D75/Financials!D$55</f>
        <v>0.14380412418875738</v>
      </c>
      <c r="E75" s="147">
        <f>Financials!E75/Financials!E$55</f>
        <v>0.14279905719713093</v>
      </c>
      <c r="F75" s="147">
        <f>Financials!F75/Financials!F$55</f>
        <v>0.13050455560722871</v>
      </c>
      <c r="G75" s="147">
        <f>Financials!G75/Financials!G$55</f>
        <v>0.12165703323846183</v>
      </c>
      <c r="H75" s="156">
        <f>Financials!H75/Financials!H$55</f>
        <v>0.12903346708488234</v>
      </c>
      <c r="I75" s="156">
        <f>Financials!I75/Financials!I$55</f>
        <v>0.13099085467314947</v>
      </c>
      <c r="J75" s="156">
        <f>Financials!J75/Financials!J$55</f>
        <v>0.13303540751985629</v>
      </c>
      <c r="K75" s="156">
        <f>Financials!K75/Financials!K$55</f>
        <v>0.13377976029044567</v>
      </c>
      <c r="L75" s="156">
        <f>Financials!L75/Financials!L$55</f>
        <v>0.13358264343868764</v>
      </c>
    </row>
    <row r="76" spans="1:14" x14ac:dyDescent="0.25"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</row>
    <row r="77" spans="1:14" x14ac:dyDescent="0.25">
      <c r="A77" t="s">
        <v>55</v>
      </c>
      <c r="B77" s="148">
        <f>Financials!B77/Financials!B$55</f>
        <v>3.150827852120662E-2</v>
      </c>
      <c r="C77" s="148">
        <f>Financials!C77/Financials!C$55</f>
        <v>3.1125577170539702E-2</v>
      </c>
      <c r="D77" s="148">
        <f>Financials!D77/Financials!D$55</f>
        <v>3.5089344191800577E-2</v>
      </c>
      <c r="E77" s="148">
        <f>Financials!E77/Financials!E$55</f>
        <v>3.41289556107571E-2</v>
      </c>
      <c r="F77" s="148">
        <f>Financials!F77/Financials!F$55</f>
        <v>3.1316115255880371E-2</v>
      </c>
      <c r="G77" s="148">
        <f>Financials!G77/Financials!G$55</f>
        <v>2.8837594192359293E-2</v>
      </c>
      <c r="H77" s="157">
        <f>Financials!H77/Financials!H$55</f>
        <v>3.0929322060246293E-2</v>
      </c>
      <c r="I77" s="157">
        <f>Financials!I77/Financials!I$55</f>
        <v>3.1398507865153927E-2</v>
      </c>
      <c r="J77" s="157">
        <f>Financials!J77/Financials!J$55</f>
        <v>3.1888587182509552E-2</v>
      </c>
      <c r="K77" s="157">
        <f>Financials!K77/Financials!K$55</f>
        <v>3.2067008541619826E-2</v>
      </c>
      <c r="L77" s="157">
        <f>Financials!L77/Financials!L$55</f>
        <v>3.2019759632253425E-2</v>
      </c>
    </row>
    <row r="78" spans="1:14" x14ac:dyDescent="0.25"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</row>
    <row r="79" spans="1:14" ht="15.75" thickBot="1" x14ac:dyDescent="0.3">
      <c r="A79" s="8" t="s">
        <v>56</v>
      </c>
      <c r="B79" s="150">
        <f>Financials!B79/Financials!B$55</f>
        <v>0.10199138126559311</v>
      </c>
      <c r="C79" s="150">
        <f>Financials!C79/Financials!C$55</f>
        <v>9.738853985315267E-2</v>
      </c>
      <c r="D79" s="150">
        <f>Financials!D79/Financials!D$55</f>
        <v>0.10871477999695681</v>
      </c>
      <c r="E79" s="150">
        <f>Financials!E79/Financials!E$55</f>
        <v>0.10867010158637383</v>
      </c>
      <c r="F79" s="150">
        <f>Financials!F79/Financials!F$55</f>
        <v>9.9188440351348342E-2</v>
      </c>
      <c r="G79" s="150">
        <f>Financials!G79/Financials!G$55</f>
        <v>9.2819439046102542E-2</v>
      </c>
      <c r="H79" s="159">
        <f>Financials!H79/Financials!H$55</f>
        <v>9.8104145024636047E-2</v>
      </c>
      <c r="I79" s="159">
        <f>Financials!I79/Financials!I$55</f>
        <v>9.959234680799553E-2</v>
      </c>
      <c r="J79" s="159">
        <f>Financials!J79/Financials!J$55</f>
        <v>0.10114682033734673</v>
      </c>
      <c r="K79" s="159">
        <f>Financials!K79/Financials!K$55</f>
        <v>0.10171275174882584</v>
      </c>
      <c r="L79" s="159">
        <f>Financials!L79/Financials!L$55</f>
        <v>0.10156288380643422</v>
      </c>
      <c r="N79" s="8"/>
    </row>
    <row r="80" spans="1:14" ht="15.75" thickTop="1" x14ac:dyDescent="0.25">
      <c r="A80" s="8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</row>
    <row r="81" spans="1:14" x14ac:dyDescent="0.25"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</row>
    <row r="82" spans="1:14" x14ac:dyDescent="0.25"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</row>
    <row r="83" spans="1:14" x14ac:dyDescent="0.25"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N83" s="8"/>
    </row>
    <row r="84" spans="1:14" x14ac:dyDescent="0.25">
      <c r="A84" s="8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</row>
    <row r="86" spans="1:14" x14ac:dyDescent="0.25">
      <c r="D86" s="66"/>
      <c r="E86" s="66"/>
      <c r="F86" s="66"/>
      <c r="G86" s="66"/>
    </row>
    <row r="87" spans="1:14" x14ac:dyDescent="0.25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  <row r="88" spans="1:14" x14ac:dyDescent="0.25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</row>
    <row r="89" spans="1:14" x14ac:dyDescent="0.25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</row>
    <row r="90" spans="1:14" x14ac:dyDescent="0.25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</row>
    <row r="91" spans="1:14" x14ac:dyDescent="0.25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</row>
  </sheetData>
  <mergeCells count="4">
    <mergeCell ref="H1:L1"/>
    <mergeCell ref="B1:G1"/>
    <mergeCell ref="B52:G52"/>
    <mergeCell ref="H52:L52"/>
  </mergeCells>
  <pageMargins left="0.43" right="0.44" top="0.38" bottom="0.42" header="0.28999999999999998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Financials</vt:lpstr>
      <vt:lpstr>Revenue</vt:lpstr>
      <vt:lpstr>Expenses</vt:lpstr>
      <vt:lpstr>Working Capital</vt:lpstr>
      <vt:lpstr>Long Term Asset &amp; Liab</vt:lpstr>
      <vt:lpstr>Financing</vt:lpstr>
      <vt:lpstr>Free Cash Flows</vt:lpstr>
      <vt:lpstr>Ratios</vt:lpstr>
      <vt:lpstr>Year-over-Year</vt:lpstr>
      <vt:lpstr>Common Size</vt:lpstr>
      <vt:lpstr>Expenses!Print_Area</vt:lpstr>
      <vt:lpstr>Financing!Print_Area</vt:lpstr>
      <vt:lpstr>'Free Cash Flows'!Print_Area</vt:lpstr>
      <vt:lpstr>'Long Term Asset &amp; Liab'!Print_Area</vt:lpstr>
      <vt:lpstr>Revenue!Print_Area</vt:lpstr>
      <vt:lpstr>'Working Capital'!Print_Area</vt:lpstr>
      <vt:lpstr>Expenses!Print_Titles</vt:lpstr>
      <vt:lpstr>Financing!Print_Titles</vt:lpstr>
      <vt:lpstr>'Long Term Asset &amp; Liab'!Print_Titles</vt:lpstr>
      <vt:lpstr>Ratios!Print_Titles</vt:lpstr>
      <vt:lpstr>Revenue!Print_Titles</vt:lpstr>
      <vt:lpstr>'Working Capital'!Print_Titles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Denise Jones</dc:creator>
  <cp:keywords/>
  <dc:description/>
  <cp:lastModifiedBy>Thrive Healthcare</cp:lastModifiedBy>
  <cp:revision/>
  <dcterms:created xsi:type="dcterms:W3CDTF">2007-08-10T18:29:31Z</dcterms:created>
  <dcterms:modified xsi:type="dcterms:W3CDTF">2026-05-22T14:39:20Z</dcterms:modified>
  <cp:category/>
  <cp:contentStatus/>
</cp:coreProperties>
</file>